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NeethaResume\Excel\Assignment\"/>
    </mc:Choice>
  </mc:AlternateContent>
  <xr:revisionPtr revIDLastSave="0" documentId="13_ncr:1_{B6B6F3A5-920A-48A4-AA9B-95FD9A40EE19}" xr6:coauthVersionLast="47" xr6:coauthVersionMax="47" xr10:uidLastSave="{00000000-0000-0000-0000-000000000000}"/>
  <bookViews>
    <workbookView xWindow="360" yWindow="1080" windowWidth="19180" windowHeight="10060" xr2:uid="{00000000-000D-0000-FFFF-FFFF00000000}"/>
  </bookViews>
  <sheets>
    <sheet name="Raw_Data" sheetId="2" r:id="rId1"/>
    <sheet name="Data_Dictionary" sheetId="3" r:id="rId2"/>
    <sheet name="Clean_Data" sheetId="22" r:id="rId3"/>
    <sheet name="Analysis" sheetId="24" r:id="rId4"/>
    <sheet name="Chart" sheetId="6" r:id="rId5"/>
    <sheet name="DashBoard" sheetId="25" r:id="rId6"/>
  </sheets>
  <definedNames>
    <definedName name="_xlnm._FilterDatabase" localSheetId="0" hidden="1">Raw_Data!$A$1:$M$351</definedName>
    <definedName name="_xlcn.WorksheetConnection_Homework_Data_Analytics_Medium1.xlsxTable11" hidden="1">Table1</definedName>
    <definedName name="_xlcn.WorksheetConnection_Neetha_Homework.xlsxTable131" hidden="1">Table13[]</definedName>
    <definedName name="Slicer_CustomerType">#N/A</definedName>
    <definedName name="Slicer_Months__Date">#N/A</definedName>
    <definedName name="Slicer_Region">#N/A</definedName>
    <definedName name="Slicer_Returned">#N/A</definedName>
  </definedNames>
  <calcPr calcId="191029"/>
  <pivotCaches>
    <pivotCache cacheId="1" r:id="rId7"/>
    <pivotCache cacheId="7"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3" name="Table13" connection="WorksheetConnection_Neetha_Homework.xlsx!Table13"/>
          <x15:modelTable id="Table1" name="Table1" connection="WorksheetConnection_Homework_Data_Analytics_Medium (1).xlsx!Table1"/>
        </x15:modelTables>
      </x15:dataModel>
    </ext>
  </extLst>
</workbook>
</file>

<file path=xl/calcChain.xml><?xml version="1.0" encoding="utf-8"?>
<calcChain xmlns="http://schemas.openxmlformats.org/spreadsheetml/2006/main">
  <c r="B8" i="6" l="1"/>
  <c r="B7" i="6"/>
  <c r="B6" i="6"/>
  <c r="B5" i="6"/>
  <c r="T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T53" i="22"/>
  <c r="T54" i="22"/>
  <c r="T55" i="22"/>
  <c r="T56" i="22"/>
  <c r="T57" i="22"/>
  <c r="T58" i="22"/>
  <c r="T59" i="22"/>
  <c r="T60" i="22"/>
  <c r="T61" i="22"/>
  <c r="T62" i="22"/>
  <c r="T63" i="22"/>
  <c r="T64" i="22"/>
  <c r="T65" i="22"/>
  <c r="T66" i="22"/>
  <c r="T67" i="22"/>
  <c r="T68" i="22"/>
  <c r="T69" i="22"/>
  <c r="T70" i="22"/>
  <c r="T71" i="22"/>
  <c r="T72" i="22"/>
  <c r="T73" i="22"/>
  <c r="T74" i="22"/>
  <c r="T75" i="22"/>
  <c r="T76" i="22"/>
  <c r="T77" i="22"/>
  <c r="T78" i="22"/>
  <c r="T79" i="22"/>
  <c r="T80" i="22"/>
  <c r="T81" i="22"/>
  <c r="T82" i="22"/>
  <c r="T83" i="22"/>
  <c r="T84" i="22"/>
  <c r="T85" i="22"/>
  <c r="T86" i="22"/>
  <c r="T87" i="22"/>
  <c r="T88" i="22"/>
  <c r="T89" i="22"/>
  <c r="T90" i="22"/>
  <c r="T91" i="22"/>
  <c r="T92" i="22"/>
  <c r="T93" i="22"/>
  <c r="T94" i="22"/>
  <c r="T95" i="22"/>
  <c r="T96" i="22"/>
  <c r="T97" i="22"/>
  <c r="T98" i="22"/>
  <c r="T99" i="22"/>
  <c r="T100" i="22"/>
  <c r="T101" i="22"/>
  <c r="T102" i="22"/>
  <c r="T103" i="22"/>
  <c r="T104" i="22"/>
  <c r="T105" i="22"/>
  <c r="T106" i="22"/>
  <c r="T107" i="22"/>
  <c r="T108" i="22"/>
  <c r="T109" i="22"/>
  <c r="T110" i="22"/>
  <c r="T111" i="22"/>
  <c r="T112" i="22"/>
  <c r="T113" i="22"/>
  <c r="T114" i="22"/>
  <c r="T115" i="22"/>
  <c r="T116" i="22"/>
  <c r="T117" i="22"/>
  <c r="T118" i="22"/>
  <c r="T119" i="22"/>
  <c r="T120" i="22"/>
  <c r="T121" i="22"/>
  <c r="T122" i="22"/>
  <c r="T123" i="22"/>
  <c r="T124" i="22"/>
  <c r="T125" i="22"/>
  <c r="T126" i="22"/>
  <c r="T127" i="22"/>
  <c r="T128" i="22"/>
  <c r="T129" i="22"/>
  <c r="T130" i="22"/>
  <c r="T131" i="22"/>
  <c r="T132" i="22"/>
  <c r="T133" i="22"/>
  <c r="T134" i="22"/>
  <c r="T135" i="22"/>
  <c r="T136" i="22"/>
  <c r="T137" i="22"/>
  <c r="T138" i="22"/>
  <c r="T139" i="22"/>
  <c r="T140" i="22"/>
  <c r="T141" i="22"/>
  <c r="T142" i="22"/>
  <c r="T143" i="22"/>
  <c r="T144" i="22"/>
  <c r="T145" i="22"/>
  <c r="T146" i="22"/>
  <c r="T147" i="22"/>
  <c r="T148" i="22"/>
  <c r="T149" i="22"/>
  <c r="T150" i="22"/>
  <c r="T151" i="22"/>
  <c r="T152" i="22"/>
  <c r="T153" i="22"/>
  <c r="T154" i="22"/>
  <c r="T155" i="22"/>
  <c r="T156" i="22"/>
  <c r="T157" i="22"/>
  <c r="T158" i="22"/>
  <c r="T159" i="22"/>
  <c r="T160" i="22"/>
  <c r="T161" i="22"/>
  <c r="T162" i="22"/>
  <c r="T163" i="22"/>
  <c r="T164" i="22"/>
  <c r="T165" i="22"/>
  <c r="T166" i="22"/>
  <c r="T167" i="22"/>
  <c r="T168" i="22"/>
  <c r="T169" i="22"/>
  <c r="T170" i="22"/>
  <c r="T171" i="22"/>
  <c r="T172" i="22"/>
  <c r="T173" i="22"/>
  <c r="T174" i="22"/>
  <c r="T175" i="22"/>
  <c r="T176" i="22"/>
  <c r="T177" i="22"/>
  <c r="T178" i="22"/>
  <c r="T179" i="22"/>
  <c r="T180" i="22"/>
  <c r="T181" i="22"/>
  <c r="T182" i="22"/>
  <c r="T183" i="22"/>
  <c r="T184" i="22"/>
  <c r="T185" i="22"/>
  <c r="T186" i="22"/>
  <c r="T187" i="22"/>
  <c r="T188" i="22"/>
  <c r="T189" i="22"/>
  <c r="T190" i="22"/>
  <c r="T191" i="22"/>
  <c r="T192" i="22"/>
  <c r="T193" i="22"/>
  <c r="T194" i="22"/>
  <c r="T195" i="22"/>
  <c r="T196" i="22"/>
  <c r="T197" i="22"/>
  <c r="T198" i="22"/>
  <c r="T199" i="22"/>
  <c r="T200" i="22"/>
  <c r="T201" i="22"/>
  <c r="T202" i="22"/>
  <c r="T203" i="22"/>
  <c r="T204" i="22"/>
  <c r="T205" i="22"/>
  <c r="T206" i="22"/>
  <c r="T207" i="22"/>
  <c r="T208" i="22"/>
  <c r="T209" i="22"/>
  <c r="T210" i="22"/>
  <c r="T211" i="22"/>
  <c r="T212" i="22"/>
  <c r="T213" i="22"/>
  <c r="T214" i="22"/>
  <c r="T215" i="22"/>
  <c r="T216" i="22"/>
  <c r="T217" i="22"/>
  <c r="T218" i="22"/>
  <c r="T219" i="22"/>
  <c r="T220" i="22"/>
  <c r="T221" i="22"/>
  <c r="T222" i="22"/>
  <c r="T223" i="22"/>
  <c r="T224" i="22"/>
  <c r="T225" i="22"/>
  <c r="T226" i="22"/>
  <c r="T227" i="22"/>
  <c r="T228" i="22"/>
  <c r="T229" i="22"/>
  <c r="T230" i="22"/>
  <c r="T231" i="22"/>
  <c r="T232" i="22"/>
  <c r="T233" i="22"/>
  <c r="T234" i="22"/>
  <c r="T235" i="22"/>
  <c r="T236" i="22"/>
  <c r="T237" i="22"/>
  <c r="T238" i="22"/>
  <c r="T239" i="22"/>
  <c r="T240" i="22"/>
  <c r="T241" i="22"/>
  <c r="T242" i="22"/>
  <c r="T243" i="22"/>
  <c r="T244" i="22"/>
  <c r="T245" i="22"/>
  <c r="T246" i="22"/>
  <c r="T247" i="22"/>
  <c r="T248" i="22"/>
  <c r="T249" i="22"/>
  <c r="T250" i="22"/>
  <c r="T251" i="22"/>
  <c r="T252" i="22"/>
  <c r="T253" i="22"/>
  <c r="T254" i="22"/>
  <c r="T255" i="22"/>
  <c r="T256" i="22"/>
  <c r="T257" i="22"/>
  <c r="T258" i="22"/>
  <c r="T259" i="22"/>
  <c r="T260" i="22"/>
  <c r="T261" i="22"/>
  <c r="T262" i="22"/>
  <c r="T263" i="22"/>
  <c r="T264" i="22"/>
  <c r="T265" i="22"/>
  <c r="T266" i="22"/>
  <c r="T267" i="22"/>
  <c r="T268" i="22"/>
  <c r="T269" i="22"/>
  <c r="T270" i="22"/>
  <c r="T271" i="22"/>
  <c r="T272" i="22"/>
  <c r="T273" i="22"/>
  <c r="T274" i="22"/>
  <c r="T275" i="22"/>
  <c r="T276" i="22"/>
  <c r="T277" i="22"/>
  <c r="T278" i="22"/>
  <c r="T279" i="22"/>
  <c r="T280" i="22"/>
  <c r="T281" i="22"/>
  <c r="T282" i="22"/>
  <c r="T283" i="22"/>
  <c r="T284" i="22"/>
  <c r="T285" i="22"/>
  <c r="T286" i="22"/>
  <c r="T287" i="22"/>
  <c r="T288" i="22"/>
  <c r="T289" i="22"/>
  <c r="T290" i="22"/>
  <c r="T291" i="22"/>
  <c r="T292" i="22"/>
  <c r="T293" i="22"/>
  <c r="T294" i="22"/>
  <c r="T295" i="22"/>
  <c r="T296" i="22"/>
  <c r="T297" i="22"/>
  <c r="T298" i="22"/>
  <c r="T299" i="22"/>
  <c r="T300" i="22"/>
  <c r="T301" i="22"/>
  <c r="T302" i="22"/>
  <c r="T303" i="22"/>
  <c r="T304" i="22"/>
  <c r="T305" i="22"/>
  <c r="T306" i="22"/>
  <c r="T307" i="22"/>
  <c r="T308" i="22"/>
  <c r="T309" i="22"/>
  <c r="T310" i="22"/>
  <c r="T311" i="22"/>
  <c r="T312" i="22"/>
  <c r="T313" i="22"/>
  <c r="T314" i="22"/>
  <c r="T315" i="22"/>
  <c r="T316" i="22"/>
  <c r="T317" i="22"/>
  <c r="T318" i="22"/>
  <c r="T319" i="22"/>
  <c r="T320" i="22"/>
  <c r="T321" i="22"/>
  <c r="T322" i="22"/>
  <c r="T323" i="22"/>
  <c r="T324" i="22"/>
  <c r="T325" i="22"/>
  <c r="T326" i="22"/>
  <c r="T327" i="22"/>
  <c r="T328" i="22"/>
  <c r="T329" i="22"/>
  <c r="T330" i="22"/>
  <c r="T331" i="22"/>
  <c r="T332" i="22"/>
  <c r="T333" i="22"/>
  <c r="T334" i="22"/>
  <c r="T335" i="22"/>
  <c r="T336" i="22"/>
  <c r="T337" i="22"/>
  <c r="T338" i="22"/>
  <c r="T339" i="22"/>
  <c r="T340" i="22"/>
  <c r="T341" i="22"/>
  <c r="T342" i="22"/>
  <c r="T343" i="22"/>
  <c r="T344" i="22"/>
  <c r="T345" i="22"/>
  <c r="T346" i="22"/>
  <c r="T347" i="22"/>
  <c r="T348" i="22"/>
  <c r="T349" i="22"/>
  <c r="T350" i="22"/>
  <c r="T351" i="22"/>
  <c r="R351" i="22"/>
  <c r="R350" i="22"/>
  <c r="R349" i="22"/>
  <c r="R348" i="22"/>
  <c r="R347" i="22"/>
  <c r="R346" i="22"/>
  <c r="R345" i="22"/>
  <c r="R344" i="22"/>
  <c r="R343" i="22"/>
  <c r="R342" i="22"/>
  <c r="R341" i="22"/>
  <c r="R340" i="22"/>
  <c r="R339" i="22"/>
  <c r="R338" i="22"/>
  <c r="R337" i="22"/>
  <c r="R336" i="22"/>
  <c r="R335" i="22"/>
  <c r="R334" i="22"/>
  <c r="R333" i="22"/>
  <c r="R332" i="22"/>
  <c r="R331" i="22"/>
  <c r="R330" i="22"/>
  <c r="R329" i="22"/>
  <c r="R328" i="22"/>
  <c r="R327" i="22"/>
  <c r="R326" i="22"/>
  <c r="R325" i="22"/>
  <c r="R324" i="22"/>
  <c r="R323" i="22"/>
  <c r="R322" i="22"/>
  <c r="R321" i="22"/>
  <c r="R320" i="22"/>
  <c r="R319" i="22"/>
  <c r="R318" i="22"/>
  <c r="R317" i="22"/>
  <c r="R316" i="22"/>
  <c r="R315" i="22"/>
  <c r="R314" i="22"/>
  <c r="R313" i="22"/>
  <c r="R312" i="22"/>
  <c r="R311" i="22"/>
  <c r="R310" i="22"/>
  <c r="R309" i="22"/>
  <c r="R308" i="22"/>
  <c r="R307" i="22"/>
  <c r="R306" i="22"/>
  <c r="R305" i="22"/>
  <c r="R304" i="22"/>
  <c r="R303" i="22"/>
  <c r="R302" i="22"/>
  <c r="R301" i="22"/>
  <c r="R300" i="22"/>
  <c r="R299" i="22"/>
  <c r="R298" i="22"/>
  <c r="R297" i="22"/>
  <c r="R296" i="22"/>
  <c r="R295" i="22"/>
  <c r="R294" i="22"/>
  <c r="R293" i="22"/>
  <c r="R292" i="22"/>
  <c r="R291" i="22"/>
  <c r="R290" i="22"/>
  <c r="R289" i="22"/>
  <c r="R288" i="22"/>
  <c r="R287" i="22"/>
  <c r="R286" i="22"/>
  <c r="R285" i="22"/>
  <c r="R284" i="22"/>
  <c r="R283" i="22"/>
  <c r="R282" i="22"/>
  <c r="R281" i="22"/>
  <c r="R280" i="22"/>
  <c r="R279" i="22"/>
  <c r="R278" i="22"/>
  <c r="R277" i="22"/>
  <c r="R276" i="22"/>
  <c r="R275" i="22"/>
  <c r="R274" i="22"/>
  <c r="R273" i="22"/>
  <c r="R272" i="22"/>
  <c r="R271" i="22"/>
  <c r="R270" i="22"/>
  <c r="R269" i="22"/>
  <c r="R268" i="22"/>
  <c r="R267" i="22"/>
  <c r="R266" i="22"/>
  <c r="R265" i="22"/>
  <c r="R264" i="22"/>
  <c r="R263" i="22"/>
  <c r="R262" i="22"/>
  <c r="R261" i="22"/>
  <c r="R260" i="22"/>
  <c r="R259" i="22"/>
  <c r="R258" i="22"/>
  <c r="R257" i="22"/>
  <c r="R256" i="22"/>
  <c r="R255" i="22"/>
  <c r="R254" i="22"/>
  <c r="R253" i="22"/>
  <c r="R252" i="22"/>
  <c r="R251" i="22"/>
  <c r="R250" i="22"/>
  <c r="R249" i="22"/>
  <c r="R248" i="22"/>
  <c r="R247" i="22"/>
  <c r="R246" i="22"/>
  <c r="R245" i="22"/>
  <c r="R244" i="22"/>
  <c r="R243" i="22"/>
  <c r="R242" i="22"/>
  <c r="R241" i="22"/>
  <c r="R240" i="22"/>
  <c r="R239" i="22"/>
  <c r="R238" i="22"/>
  <c r="R237" i="22"/>
  <c r="R236" i="22"/>
  <c r="R235" i="22"/>
  <c r="R234" i="22"/>
  <c r="R233" i="22"/>
  <c r="R232" i="22"/>
  <c r="R231" i="22"/>
  <c r="R230" i="22"/>
  <c r="R229" i="22"/>
  <c r="R228" i="22"/>
  <c r="R227" i="22"/>
  <c r="R226" i="22"/>
  <c r="R225" i="22"/>
  <c r="R224" i="22"/>
  <c r="R223" i="22"/>
  <c r="R222" i="22"/>
  <c r="R221" i="22"/>
  <c r="R220" i="22"/>
  <c r="R219" i="22"/>
  <c r="R218" i="22"/>
  <c r="R217" i="22"/>
  <c r="R216" i="22"/>
  <c r="R215" i="22"/>
  <c r="R214" i="22"/>
  <c r="R213" i="22"/>
  <c r="R212" i="22"/>
  <c r="R211" i="22"/>
  <c r="R210" i="22"/>
  <c r="R209" i="22"/>
  <c r="R208" i="22"/>
  <c r="R207" i="22"/>
  <c r="R206" i="22"/>
  <c r="R205" i="22"/>
  <c r="R204" i="22"/>
  <c r="R203" i="22"/>
  <c r="R202" i="22"/>
  <c r="R201" i="22"/>
  <c r="R200" i="22"/>
  <c r="R199" i="22"/>
  <c r="R198" i="22"/>
  <c r="R197" i="22"/>
  <c r="R196" i="22"/>
  <c r="R195" i="22"/>
  <c r="R194" i="22"/>
  <c r="R193" i="22"/>
  <c r="R192" i="22"/>
  <c r="R191" i="22"/>
  <c r="R190" i="22"/>
  <c r="R189" i="22"/>
  <c r="R188" i="22"/>
  <c r="R187" i="22"/>
  <c r="R186" i="22"/>
  <c r="R185" i="22"/>
  <c r="R184" i="22"/>
  <c r="R183" i="22"/>
  <c r="R182" i="22"/>
  <c r="R181" i="22"/>
  <c r="R180" i="22"/>
  <c r="R179" i="22"/>
  <c r="R178" i="22"/>
  <c r="R177" i="22"/>
  <c r="R176" i="22"/>
  <c r="R175" i="22"/>
  <c r="R174" i="22"/>
  <c r="R173" i="22"/>
  <c r="R172" i="22"/>
  <c r="R171" i="22"/>
  <c r="R170" i="22"/>
  <c r="R169" i="22"/>
  <c r="R168" i="22"/>
  <c r="R167" i="22"/>
  <c r="R166" i="22"/>
  <c r="R165" i="22"/>
  <c r="R164" i="22"/>
  <c r="R163" i="22"/>
  <c r="R162" i="22"/>
  <c r="R161" i="22"/>
  <c r="R160" i="22"/>
  <c r="R159" i="22"/>
  <c r="R158" i="22"/>
  <c r="R157" i="22"/>
  <c r="R156" i="22"/>
  <c r="R155" i="22"/>
  <c r="R154" i="22"/>
  <c r="R153" i="22"/>
  <c r="R152" i="22"/>
  <c r="R151" i="22"/>
  <c r="R150" i="22"/>
  <c r="R149" i="22"/>
  <c r="R148" i="22"/>
  <c r="R147" i="22"/>
  <c r="R146" i="22"/>
  <c r="R145" i="22"/>
  <c r="R144" i="22"/>
  <c r="R143" i="22"/>
  <c r="R142" i="22"/>
  <c r="R141" i="22"/>
  <c r="R140" i="22"/>
  <c r="R139" i="22"/>
  <c r="R138" i="22"/>
  <c r="R137" i="22"/>
  <c r="R136" i="22"/>
  <c r="R135" i="22"/>
  <c r="R134" i="22"/>
  <c r="R133" i="22"/>
  <c r="R132" i="22"/>
  <c r="R131" i="22"/>
  <c r="R130" i="22"/>
  <c r="R129" i="22"/>
  <c r="R128" i="22"/>
  <c r="R127" i="22"/>
  <c r="R126" i="22"/>
  <c r="R125" i="22"/>
  <c r="R124" i="22"/>
  <c r="R123" i="22"/>
  <c r="R122" i="22"/>
  <c r="R121" i="22"/>
  <c r="R120" i="22"/>
  <c r="R119" i="22"/>
  <c r="R118" i="22"/>
  <c r="R117" i="22"/>
  <c r="R116" i="22"/>
  <c r="R115" i="22"/>
  <c r="R114" i="22"/>
  <c r="R113" i="22"/>
  <c r="R112" i="22"/>
  <c r="R111" i="22"/>
  <c r="R110" i="22"/>
  <c r="R109" i="22"/>
  <c r="R108" i="22"/>
  <c r="R107" i="22"/>
  <c r="R106" i="22"/>
  <c r="R105" i="22"/>
  <c r="R104" i="22"/>
  <c r="R103" i="22"/>
  <c r="R102" i="22"/>
  <c r="R101" i="22"/>
  <c r="R100" i="22"/>
  <c r="R99" i="22"/>
  <c r="R98" i="22"/>
  <c r="R97" i="22"/>
  <c r="R96" i="22"/>
  <c r="R95" i="22"/>
  <c r="R94" i="22"/>
  <c r="R93" i="22"/>
  <c r="R92" i="22"/>
  <c r="R91" i="22"/>
  <c r="R90" i="22"/>
  <c r="R89" i="22"/>
  <c r="R88" i="22"/>
  <c r="R87" i="22"/>
  <c r="R86" i="22"/>
  <c r="R85" i="22"/>
  <c r="R84" i="22"/>
  <c r="R83" i="22"/>
  <c r="R82" i="22"/>
  <c r="R81" i="22"/>
  <c r="R80" i="22"/>
  <c r="R79" i="22"/>
  <c r="R78" i="22"/>
  <c r="R77" i="22"/>
  <c r="R76" i="22"/>
  <c r="R75" i="22"/>
  <c r="R74" i="22"/>
  <c r="R73" i="22"/>
  <c r="R72" i="22"/>
  <c r="R71" i="22"/>
  <c r="R70" i="22"/>
  <c r="R69" i="22"/>
  <c r="R68" i="22"/>
  <c r="R67" i="22"/>
  <c r="R66" i="22"/>
  <c r="R65" i="22"/>
  <c r="R64" i="22"/>
  <c r="R63" i="22"/>
  <c r="R62" i="22"/>
  <c r="R61" i="22"/>
  <c r="R60" i="22"/>
  <c r="R59" i="22"/>
  <c r="R58" i="22"/>
  <c r="R57" i="22"/>
  <c r="R56" i="22"/>
  <c r="R55" i="22"/>
  <c r="R54" i="22"/>
  <c r="R53" i="22"/>
  <c r="R52" i="22"/>
  <c r="R51" i="22"/>
  <c r="R50" i="22"/>
  <c r="R49" i="22"/>
  <c r="R48" i="22"/>
  <c r="R47" i="22"/>
  <c r="R46" i="22"/>
  <c r="R45" i="22"/>
  <c r="R44" i="22"/>
  <c r="R43" i="22"/>
  <c r="R42" i="22"/>
  <c r="R41" i="22"/>
  <c r="R40" i="22"/>
  <c r="R39" i="22"/>
  <c r="R38" i="22"/>
  <c r="R37" i="22"/>
  <c r="R36" i="22"/>
  <c r="R35" i="22"/>
  <c r="R34" i="22"/>
  <c r="R33" i="22"/>
  <c r="R32" i="22"/>
  <c r="R31" i="22"/>
  <c r="R30" i="22"/>
  <c r="R29" i="22"/>
  <c r="R28" i="22"/>
  <c r="R27" i="22"/>
  <c r="R26" i="22"/>
  <c r="R25" i="22"/>
  <c r="R24" i="22"/>
  <c r="R23" i="22"/>
  <c r="R22" i="22"/>
  <c r="R21" i="22"/>
  <c r="R20" i="22"/>
  <c r="R19" i="22"/>
  <c r="R18" i="22"/>
  <c r="R17" i="22"/>
  <c r="R16" i="22"/>
  <c r="R15" i="22"/>
  <c r="R14" i="22"/>
  <c r="R13" i="22"/>
  <c r="R12" i="22"/>
  <c r="R11" i="22"/>
  <c r="R10" i="22"/>
  <c r="R9" i="22"/>
  <c r="R8" i="22"/>
  <c r="R7" i="22"/>
  <c r="R6" i="22"/>
  <c r="R5" i="22"/>
  <c r="R4" i="22"/>
  <c r="R3" i="22"/>
  <c r="R2" i="22"/>
  <c r="D50" i="24"/>
  <c r="D58" i="24"/>
  <c r="D56" i="24"/>
  <c r="D51" i="24"/>
  <c r="D54" i="24"/>
  <c r="D55" i="24"/>
  <c r="D57" i="24"/>
  <c r="D52" i="24"/>
  <c r="D47" i="24"/>
  <c r="D53" i="24"/>
  <c r="D46" i="24"/>
  <c r="D48" i="24"/>
  <c r="D49"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035D5E-9F59-45CD-8C43-2489B3B8F3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9B20020-5EE1-44A3-87EE-A5BB794AD993}" name="WorksheetConnection_Homework_Data_Analytics_Medium (1).xlsx!Table1" type="102" refreshedVersion="8" minRefreshableVersion="5">
    <extLst>
      <ext xmlns:x15="http://schemas.microsoft.com/office/spreadsheetml/2010/11/main" uri="{DE250136-89BD-433C-8126-D09CA5730AF9}">
        <x15:connection id="Table1">
          <x15:rangePr sourceName="_xlcn.WorksheetConnection_Homework_Data_Analytics_Medium1.xlsxTable11"/>
        </x15:connection>
      </ext>
    </extLst>
  </connection>
  <connection id="3" xr16:uid="{79D714CF-7543-463B-9D48-C9C61C4AA143}" name="WorksheetConnection_Neetha_Homework.xlsx!Table13" type="102" refreshedVersion="8" minRefreshableVersion="5">
    <extLst>
      <ext xmlns:x15="http://schemas.microsoft.com/office/spreadsheetml/2010/11/main" uri="{DE250136-89BD-433C-8126-D09CA5730AF9}">
        <x15:connection id="Table13" autoDelete="1">
          <x15:rangePr sourceName="_xlcn.WorksheetConnection_Neetha_Homework.xlsxTable131"/>
        </x15:connection>
      </ext>
    </extLst>
  </connection>
</connections>
</file>

<file path=xl/sharedStrings.xml><?xml version="1.0" encoding="utf-8"?>
<sst xmlns="http://schemas.openxmlformats.org/spreadsheetml/2006/main" count="7379" uniqueCount="1080">
  <si>
    <t>OrderID</t>
  </si>
  <si>
    <t>Date</t>
  </si>
  <si>
    <t>Region</t>
  </si>
  <si>
    <t>Store</t>
  </si>
  <si>
    <t>Product</t>
  </si>
  <si>
    <t>Category</t>
  </si>
  <si>
    <t>SalesRep</t>
  </si>
  <si>
    <t>Units</t>
  </si>
  <si>
    <t>UnitPrice</t>
  </si>
  <si>
    <t>Revenue</t>
  </si>
  <si>
    <t>DiscountCode</t>
  </si>
  <si>
    <t>CustomerType</t>
  </si>
  <si>
    <t>Returned</t>
  </si>
  <si>
    <t>21 Jan 2024</t>
  </si>
  <si>
    <t>LONDON</t>
  </si>
  <si>
    <t>Westfield</t>
  </si>
  <si>
    <t>Keyboard</t>
  </si>
  <si>
    <t>Electronics</t>
  </si>
  <si>
    <t>Ben</t>
  </si>
  <si>
    <t>£31.72</t>
  </si>
  <si>
    <t>£571.00</t>
  </si>
  <si>
    <t>N</t>
  </si>
  <si>
    <t>30/01/2024</t>
  </si>
  <si>
    <t>London</t>
  </si>
  <si>
    <t>Canary Wharf</t>
  </si>
  <si>
    <t>Desk Chair</t>
  </si>
  <si>
    <t>Furniture</t>
  </si>
  <si>
    <t>Hannah</t>
  </si>
  <si>
    <t>£131.35</t>
  </si>
  <si>
    <t>£1,970.32</t>
  </si>
  <si>
    <t>Retail</t>
  </si>
  <si>
    <t>04/02/2024</t>
  </si>
  <si>
    <t>MANchester</t>
  </si>
  <si>
    <t>Piccadilly</t>
  </si>
  <si>
    <t>Standing Desk</t>
  </si>
  <si>
    <t>Priya</t>
  </si>
  <si>
    <t>£398.56</t>
  </si>
  <si>
    <t>2,391.38</t>
  </si>
  <si>
    <t>retail</t>
  </si>
  <si>
    <t>17 Mar 2024</t>
  </si>
  <si>
    <t>Scotlnd</t>
  </si>
  <si>
    <t>Glasgow</t>
  </si>
  <si>
    <t>Monitor 24in</t>
  </si>
  <si>
    <t>Sarah</t>
  </si>
  <si>
    <t>£209.88</t>
  </si>
  <si>
    <t>£3,211.17</t>
  </si>
  <si>
    <t>welcome15</t>
  </si>
  <si>
    <t>08/03/2024</t>
  </si>
  <si>
    <t>N West</t>
  </si>
  <si>
    <t>Leeds Trinity</t>
  </si>
  <si>
    <t>Laptop</t>
  </si>
  <si>
    <t>£483.83</t>
  </si>
  <si>
    <t>483.83</t>
  </si>
  <si>
    <t>29-03-2024</t>
  </si>
  <si>
    <t>S East</t>
  </si>
  <si>
    <t>Brighton</t>
  </si>
  <si>
    <t>Laptop Pro</t>
  </si>
  <si>
    <t>James</t>
  </si>
  <si>
    <t>£ 904</t>
  </si>
  <si>
    <t>£16,267.03</t>
  </si>
  <si>
    <t>Business</t>
  </si>
  <si>
    <t>01-03-2024</t>
  </si>
  <si>
    <t>south east</t>
  </si>
  <si>
    <t>£35.62</t>
  </si>
  <si>
    <t>609.09</t>
  </si>
  <si>
    <t>save10</t>
  </si>
  <si>
    <t>02/01/2024</t>
  </si>
  <si>
    <t xml:space="preserve">Manchester </t>
  </si>
  <si>
    <t>Trafford</t>
  </si>
  <si>
    <t>Desk Lamp</t>
  </si>
  <si>
    <t>£37.10</t>
  </si>
  <si>
    <t>£434.12</t>
  </si>
  <si>
    <t>SAVE10</t>
  </si>
  <si>
    <t>10/02/2024</t>
  </si>
  <si>
    <t>Lon don</t>
  </si>
  <si>
    <t>Oxford St</t>
  </si>
  <si>
    <t>Omar</t>
  </si>
  <si>
    <t>£211.41</t>
  </si>
  <si>
    <t>£1,902.65</t>
  </si>
  <si>
    <t>08 Feb 2024</t>
  </si>
  <si>
    <t xml:space="preserve">London </t>
  </si>
  <si>
    <t>£189.85</t>
  </si>
  <si>
    <t>£3,986.82</t>
  </si>
  <si>
    <t>2024/01/18</t>
  </si>
  <si>
    <t>South East</t>
  </si>
  <si>
    <t>Headset</t>
  </si>
  <si>
    <t>£69.93</t>
  </si>
  <si>
    <t>£839.17</t>
  </si>
  <si>
    <t>BIRMINGHAM</t>
  </si>
  <si>
    <t>Bullring</t>
  </si>
  <si>
    <t>N/A</t>
  </si>
  <si>
    <t>£6,172.05</t>
  </si>
  <si>
    <t>12 Feb 2024</t>
  </si>
  <si>
    <t>£825.13</t>
  </si>
  <si>
    <t>£ 6,601</t>
  </si>
  <si>
    <t>2024/01/23</t>
  </si>
  <si>
    <t>North West</t>
  </si>
  <si>
    <t>802.90</t>
  </si>
  <si>
    <t>£ 10,839</t>
  </si>
  <si>
    <t>2024/02/21</t>
  </si>
  <si>
    <t>Manchester</t>
  </si>
  <si>
    <t>Docking Station</t>
  </si>
  <si>
    <t>£ 145</t>
  </si>
  <si>
    <t>2,759.41</t>
  </si>
  <si>
    <t>CLEAR5</t>
  </si>
  <si>
    <t>2024/01/31</t>
  </si>
  <si>
    <t>NorthWest</t>
  </si>
  <si>
    <t>Office Desk</t>
  </si>
  <si>
    <t>£285.97</t>
  </si>
  <si>
    <t>£6,005.43</t>
  </si>
  <si>
    <t>12-03-2024</t>
  </si>
  <si>
    <t>3,453.62</t>
  </si>
  <si>
    <t>2024/02/12</t>
  </si>
  <si>
    <t>New Street</t>
  </si>
  <si>
    <t>£ 141</t>
  </si>
  <si>
    <t>£1,583.01</t>
  </si>
  <si>
    <t>BULK20</t>
  </si>
  <si>
    <t>23-02-2024</t>
  </si>
  <si>
    <t xml:space="preserve"> london</t>
  </si>
  <si>
    <t>£4,380.97</t>
  </si>
  <si>
    <t>2024/02/23</t>
  </si>
  <si>
    <t>Edinburgh</t>
  </si>
  <si>
    <t>35.64</t>
  </si>
  <si>
    <t>£641.58</t>
  </si>
  <si>
    <t>2024/01/21</t>
  </si>
  <si>
    <t>SouthEast</t>
  </si>
  <si>
    <t>furniture</t>
  </si>
  <si>
    <t>£430.19</t>
  </si>
  <si>
    <t>3,441.54</t>
  </si>
  <si>
    <t>03/03/2024</t>
  </si>
  <si>
    <t>481.53</t>
  </si>
  <si>
    <t>5,778.32</t>
  </si>
  <si>
    <t>business</t>
  </si>
  <si>
    <t>11-02-2024</t>
  </si>
  <si>
    <t>£149.12</t>
  </si>
  <si>
    <t>£2,385.93</t>
  </si>
  <si>
    <t>14 Feb 2024</t>
  </si>
  <si>
    <t>68.36</t>
  </si>
  <si>
    <t>£956.99</t>
  </si>
  <si>
    <t>02-01-2024</t>
  </si>
  <si>
    <t>Manchster</t>
  </si>
  <si>
    <t>Arndale</t>
  </si>
  <si>
    <t>Printer</t>
  </si>
  <si>
    <t>£186.85</t>
  </si>
  <si>
    <t>£3,363.23</t>
  </si>
  <si>
    <t>16 Jan 2024</t>
  </si>
  <si>
    <t>£ 808</t>
  </si>
  <si>
    <t>£12,118.82</t>
  </si>
  <si>
    <t>28/02/2024</t>
  </si>
  <si>
    <t>£152.53</t>
  </si>
  <si>
    <t>2,745.59</t>
  </si>
  <si>
    <t>Y</t>
  </si>
  <si>
    <t>26/02/2024</t>
  </si>
  <si>
    <t xml:space="preserve">scotland </t>
  </si>
  <si>
    <t>£411.43</t>
  </si>
  <si>
    <t>£3,702.84</t>
  </si>
  <si>
    <t>22 Feb 2024</t>
  </si>
  <si>
    <t>£ 433</t>
  </si>
  <si>
    <t>£2,596.36</t>
  </si>
  <si>
    <t>26 Feb 2024</t>
  </si>
  <si>
    <t>£ 108</t>
  </si>
  <si>
    <t>1,836.47</t>
  </si>
  <si>
    <t>06-03-2024</t>
  </si>
  <si>
    <t>60.03</t>
  </si>
  <si>
    <t>£ 240</t>
  </si>
  <si>
    <t>22/02/2024</t>
  </si>
  <si>
    <t>Wireless Mouse</t>
  </si>
  <si>
    <t>£24.95</t>
  </si>
  <si>
    <t>£ 474</t>
  </si>
  <si>
    <t>20/02/2024</t>
  </si>
  <si>
    <t>Reading</t>
  </si>
  <si>
    <t>£913.61</t>
  </si>
  <si>
    <t>£ 10,050</t>
  </si>
  <si>
    <t>25-02-2024</t>
  </si>
  <si>
    <t>£891.95</t>
  </si>
  <si>
    <t>£8,919.50</t>
  </si>
  <si>
    <t>2024/02/24</t>
  </si>
  <si>
    <t>Stratford</t>
  </si>
  <si>
    <t>£143.86</t>
  </si>
  <si>
    <t>£2,733.37</t>
  </si>
  <si>
    <t>15-02-2024</t>
  </si>
  <si>
    <t>£144.43</t>
  </si>
  <si>
    <t>144.43</t>
  </si>
  <si>
    <t>2024/02/07</t>
  </si>
  <si>
    <t>£439.52</t>
  </si>
  <si>
    <t>£5,933.50</t>
  </si>
  <si>
    <t>23/03/2024</t>
  </si>
  <si>
    <t>Electroncs</t>
  </si>
  <si>
    <t>465.55</t>
  </si>
  <si>
    <t>£8,379.98</t>
  </si>
  <si>
    <t>05/02/2024</t>
  </si>
  <si>
    <t>£23.18</t>
  </si>
  <si>
    <t>185.43</t>
  </si>
  <si>
    <t>11-03-2024</t>
  </si>
  <si>
    <t>457.72</t>
  </si>
  <si>
    <t>3,204.02</t>
  </si>
  <si>
    <t>05-03-2024</t>
  </si>
  <si>
    <t>£185.27</t>
  </si>
  <si>
    <t>1,000.47</t>
  </si>
  <si>
    <t>07 Feb 2024</t>
  </si>
  <si>
    <t xml:space="preserve">Birmingham  </t>
  </si>
  <si>
    <t>£ 848</t>
  </si>
  <si>
    <t>11,876.84</t>
  </si>
  <si>
    <t>12/03/2024</t>
  </si>
  <si>
    <t>£33.69</t>
  </si>
  <si>
    <t>505.32</t>
  </si>
  <si>
    <t>19/03/2024</t>
  </si>
  <si>
    <t>801.17</t>
  </si>
  <si>
    <t>£15,222.15</t>
  </si>
  <si>
    <t>11/01/2024</t>
  </si>
  <si>
    <t>109.67</t>
  </si>
  <si>
    <t>£2,083.73</t>
  </si>
  <si>
    <t>01 Jan 2024</t>
  </si>
  <si>
    <t>129.10</t>
  </si>
  <si>
    <t>£1,755.83</t>
  </si>
  <si>
    <t>16/02/2024</t>
  </si>
  <si>
    <t>£256.36</t>
  </si>
  <si>
    <t>21 Mar 2024</t>
  </si>
  <si>
    <t>£35.21</t>
  </si>
  <si>
    <t>£508.85</t>
  </si>
  <si>
    <t>WELCOME15</t>
  </si>
  <si>
    <t>06 Jan 2024</t>
  </si>
  <si>
    <t>£203.66</t>
  </si>
  <si>
    <t>1,832.91</t>
  </si>
  <si>
    <t>2024/03/21</t>
  </si>
  <si>
    <t>Birmingham</t>
  </si>
  <si>
    <t>£420.53</t>
  </si>
  <si>
    <t>£ 1,262</t>
  </si>
  <si>
    <t>26 Mar 2024</t>
  </si>
  <si>
    <t>£467.86</t>
  </si>
  <si>
    <t>8,608.68</t>
  </si>
  <si>
    <t>32.21</t>
  </si>
  <si>
    <t>£289.87</t>
  </si>
  <si>
    <t>02/02/2024</t>
  </si>
  <si>
    <t>61.02</t>
  </si>
  <si>
    <t>£976.36</t>
  </si>
  <si>
    <t>2024/01/13</t>
  </si>
  <si>
    <t>£ 413</t>
  </si>
  <si>
    <t>£7,025.32</t>
  </si>
  <si>
    <t>35.34</t>
  </si>
  <si>
    <t>£197.91</t>
  </si>
  <si>
    <t xml:space="preserve">BULK20 </t>
  </si>
  <si>
    <t>2024/03/15</t>
  </si>
  <si>
    <t>Birminghm</t>
  </si>
  <si>
    <t>£1,370.54</t>
  </si>
  <si>
    <t>2024/01/07</t>
  </si>
  <si>
    <t>north west</t>
  </si>
  <si>
    <t>£381.68</t>
  </si>
  <si>
    <t>£5,725.20</t>
  </si>
  <si>
    <t>2024/02/26</t>
  </si>
  <si>
    <t>£209.08</t>
  </si>
  <si>
    <t>£3,554.42</t>
  </si>
  <si>
    <t>10-01-2024</t>
  </si>
  <si>
    <t>389.99</t>
  </si>
  <si>
    <t>£2,105.96</t>
  </si>
  <si>
    <t>2024/02/10</t>
  </si>
  <si>
    <t>£67.65</t>
  </si>
  <si>
    <t>£ 518</t>
  </si>
  <si>
    <t>£58.84</t>
  </si>
  <si>
    <t>£1,059.15</t>
  </si>
  <si>
    <t>09/03/2024</t>
  </si>
  <si>
    <t>£200.72</t>
  </si>
  <si>
    <t>£361.30</t>
  </si>
  <si>
    <t>08-01-2024</t>
  </si>
  <si>
    <t>SCOTLAND</t>
  </si>
  <si>
    <t>£895.38</t>
  </si>
  <si>
    <t>£17,012.28</t>
  </si>
  <si>
    <t>10-02-2024</t>
  </si>
  <si>
    <t>£110.55</t>
  </si>
  <si>
    <t>£1,193.92</t>
  </si>
  <si>
    <t>£254.72</t>
  </si>
  <si>
    <t>1,783.07</t>
  </si>
  <si>
    <t>07 Mar 2024</t>
  </si>
  <si>
    <t>63.62</t>
  </si>
  <si>
    <t>£1,272.41</t>
  </si>
  <si>
    <t>15-03-2024</t>
  </si>
  <si>
    <t>181.16</t>
  </si>
  <si>
    <t>£ 2,464</t>
  </si>
  <si>
    <t>02 Mar 2024</t>
  </si>
  <si>
    <t>£404.35</t>
  </si>
  <si>
    <t>6,873.95</t>
  </si>
  <si>
    <t>14-02-2024</t>
  </si>
  <si>
    <t>36.90</t>
  </si>
  <si>
    <t>£664.17</t>
  </si>
  <si>
    <t>£36.37</t>
  </si>
  <si>
    <t>£294.62</t>
  </si>
  <si>
    <t>07 / 02 / 2024</t>
  </si>
  <si>
    <t>23.66</t>
  </si>
  <si>
    <t>£ 71</t>
  </si>
  <si>
    <t>12 Jan 2024</t>
  </si>
  <si>
    <t>193.23</t>
  </si>
  <si>
    <t>£1,217.33</t>
  </si>
  <si>
    <t>29-01-2024</t>
  </si>
  <si>
    <t>31.58</t>
  </si>
  <si>
    <t>596.86</t>
  </si>
  <si>
    <t>£384.88</t>
  </si>
  <si>
    <t>£ 7,698</t>
  </si>
  <si>
    <t>01/03/2024</t>
  </si>
  <si>
    <t>£331.06</t>
  </si>
  <si>
    <t>bulk20</t>
  </si>
  <si>
    <t>24 Feb 2024</t>
  </si>
  <si>
    <t>£ 306</t>
  </si>
  <si>
    <t>6,609.43</t>
  </si>
  <si>
    <t>2024/03/14</t>
  </si>
  <si>
    <t>£386.48</t>
  </si>
  <si>
    <t>1,739.14</t>
  </si>
  <si>
    <t>31-01-2024</t>
  </si>
  <si>
    <t>27.06</t>
  </si>
  <si>
    <t>436.98</t>
  </si>
  <si>
    <t>£299.44</t>
  </si>
  <si>
    <t>718.65</t>
  </si>
  <si>
    <t>13-03-2024</t>
  </si>
  <si>
    <t>£189.92</t>
  </si>
  <si>
    <t>£1,215.48</t>
  </si>
  <si>
    <t>Liverpool One</t>
  </si>
  <si>
    <t>36.08</t>
  </si>
  <si>
    <t>£245.36</t>
  </si>
  <si>
    <t>30 Mar 2024</t>
  </si>
  <si>
    <t>£198.24</t>
  </si>
  <si>
    <t>£3,833.05</t>
  </si>
  <si>
    <t>£119.02</t>
  </si>
  <si>
    <t>1,428.19</t>
  </si>
  <si>
    <t>2024/01/10</t>
  </si>
  <si>
    <t>£31.83</t>
  </si>
  <si>
    <t>£604.69</t>
  </si>
  <si>
    <t>18 Feb 2024</t>
  </si>
  <si>
    <t>£197.08</t>
  </si>
  <si>
    <t>£472.98</t>
  </si>
  <si>
    <t>11/03/2024</t>
  </si>
  <si>
    <t>£1,734.00</t>
  </si>
  <si>
    <t>£67.41</t>
  </si>
  <si>
    <t>£1,152.70</t>
  </si>
  <si>
    <t>122.48</t>
  </si>
  <si>
    <t>2,327.06</t>
  </si>
  <si>
    <t>29 Mar 2024</t>
  </si>
  <si>
    <t>£37.07</t>
  </si>
  <si>
    <t>£100.09</t>
  </si>
  <si>
    <t>27-03-2024</t>
  </si>
  <si>
    <t>£36.24</t>
  </si>
  <si>
    <t>£791.89</t>
  </si>
  <si>
    <t>clear5</t>
  </si>
  <si>
    <t>23-01-2024</t>
  </si>
  <si>
    <t>£116.36</t>
  </si>
  <si>
    <t>733.06</t>
  </si>
  <si>
    <t>273.77</t>
  </si>
  <si>
    <t>4,380.40</t>
  </si>
  <si>
    <t>23-03-2024</t>
  </si>
  <si>
    <t>35.63</t>
  </si>
  <si>
    <t>£320.68</t>
  </si>
  <si>
    <t>06-02-2024</t>
  </si>
  <si>
    <t>£850.92</t>
  </si>
  <si>
    <t>£11,062.02</t>
  </si>
  <si>
    <t>£64.24</t>
  </si>
  <si>
    <t>£128.48</t>
  </si>
  <si>
    <t>2024/01/08</t>
  </si>
  <si>
    <t>£35.68</t>
  </si>
  <si>
    <t>£ 678</t>
  </si>
  <si>
    <t>2024/03/22</t>
  </si>
  <si>
    <t>£ 36</t>
  </si>
  <si>
    <t>£402.48</t>
  </si>
  <si>
    <t>26-01-2024</t>
  </si>
  <si>
    <t>£ 127</t>
  </si>
  <si>
    <t>£2,411.47</t>
  </si>
  <si>
    <t>13/02/2024</t>
  </si>
  <si>
    <t>432.50</t>
  </si>
  <si>
    <t>£9,947.40</t>
  </si>
  <si>
    <t>19 Mar 2024</t>
  </si>
  <si>
    <t>£126.08</t>
  </si>
  <si>
    <t>£1,638.99</t>
  </si>
  <si>
    <t>265.90</t>
  </si>
  <si>
    <t>£ 2,393</t>
  </si>
  <si>
    <t>2024/02/20</t>
  </si>
  <si>
    <t>£ 60</t>
  </si>
  <si>
    <t>£722.59</t>
  </si>
  <si>
    <t>25/02/2024</t>
  </si>
  <si>
    <t>£23.28</t>
  </si>
  <si>
    <t>162.94</t>
  </si>
  <si>
    <t>21/03/2024</t>
  </si>
  <si>
    <t>180.83</t>
  </si>
  <si>
    <t>£2,603.93</t>
  </si>
  <si>
    <t>£6,929.45</t>
  </si>
  <si>
    <t>04-03-2024</t>
  </si>
  <si>
    <t>69.76</t>
  </si>
  <si>
    <t>£209.28</t>
  </si>
  <si>
    <t>58.52</t>
  </si>
  <si>
    <t>£ 53</t>
  </si>
  <si>
    <t>£ 482</t>
  </si>
  <si>
    <t>4,237.92</t>
  </si>
  <si>
    <t>18 / 01 / 2024</t>
  </si>
  <si>
    <t>185.93</t>
  </si>
  <si>
    <t>£ 3,347</t>
  </si>
  <si>
    <t>20 Feb 2024</t>
  </si>
  <si>
    <t>131.54</t>
  </si>
  <si>
    <t>£657.69</t>
  </si>
  <si>
    <t>15 Feb 2024</t>
  </si>
  <si>
    <t>electronics</t>
  </si>
  <si>
    <t>£ 200</t>
  </si>
  <si>
    <t>1,519.66</t>
  </si>
  <si>
    <t>120.71</t>
  </si>
  <si>
    <t>£1,955.44</t>
  </si>
  <si>
    <t>11 / 02 / 2024</t>
  </si>
  <si>
    <t>£ 149</t>
  </si>
  <si>
    <t>£936.75</t>
  </si>
  <si>
    <t>£ 116</t>
  </si>
  <si>
    <t>£2,199.11</t>
  </si>
  <si>
    <t>29/03/2024</t>
  </si>
  <si>
    <t>£128.92</t>
  </si>
  <si>
    <t>2,165.77</t>
  </si>
  <si>
    <t>18-02-2024</t>
  </si>
  <si>
    <t>£296.17</t>
  </si>
  <si>
    <t>£5,331.04</t>
  </si>
  <si>
    <t>20/01/2024</t>
  </si>
  <si>
    <t>£ 271</t>
  </si>
  <si>
    <t>£3,787.58</t>
  </si>
  <si>
    <t>784.64</t>
  </si>
  <si>
    <t>£1,883.13</t>
  </si>
  <si>
    <t>27-02-2024</t>
  </si>
  <si>
    <t>£ 67</t>
  </si>
  <si>
    <t>£ 1,079</t>
  </si>
  <si>
    <t>19/01/2024</t>
  </si>
  <si>
    <t>£32.11</t>
  </si>
  <si>
    <t>642.18</t>
  </si>
  <si>
    <t>2024/02/08</t>
  </si>
  <si>
    <t>£23.36</t>
  </si>
  <si>
    <t>443.86</t>
  </si>
  <si>
    <t>£183.78</t>
  </si>
  <si>
    <t>£1,571.31</t>
  </si>
  <si>
    <t>£184.87</t>
  </si>
  <si>
    <t>£2,773.12</t>
  </si>
  <si>
    <t>2024/02/29</t>
  </si>
  <si>
    <t>£ 379</t>
  </si>
  <si>
    <t>8,180.94</t>
  </si>
  <si>
    <t>£ 26</t>
  </si>
  <si>
    <t>£282.73</t>
  </si>
  <si>
    <t>13 Jan 2024</t>
  </si>
  <si>
    <t>271.22</t>
  </si>
  <si>
    <t>£5,153.13</t>
  </si>
  <si>
    <t>07-01-2024</t>
  </si>
  <si>
    <t>£34.10</t>
  </si>
  <si>
    <t>£ 399</t>
  </si>
  <si>
    <t>295.55</t>
  </si>
  <si>
    <t>2024/03/03</t>
  </si>
  <si>
    <t>£818.06</t>
  </si>
  <si>
    <t>£10,307.50</t>
  </si>
  <si>
    <t>£36.05</t>
  </si>
  <si>
    <t>£1,003.96</t>
  </si>
  <si>
    <t>27 Jan 2024</t>
  </si>
  <si>
    <t>£143.30</t>
  </si>
  <si>
    <t>£ 573</t>
  </si>
  <si>
    <t>06/01/2024</t>
  </si>
  <si>
    <t>£462.99</t>
  </si>
  <si>
    <t>1,666.77</t>
  </si>
  <si>
    <t>16 Mar 2024</t>
  </si>
  <si>
    <t>£429.46</t>
  </si>
  <si>
    <t>£7,300.90</t>
  </si>
  <si>
    <t>07/03/2024</t>
  </si>
  <si>
    <t>£2,845.84</t>
  </si>
  <si>
    <t>04 Mar 2024</t>
  </si>
  <si>
    <t>£912.80</t>
  </si>
  <si>
    <t>12,414.09</t>
  </si>
  <si>
    <t>15/01/2024</t>
  </si>
  <si>
    <t>£144.33</t>
  </si>
  <si>
    <t>£2,453.59</t>
  </si>
  <si>
    <t>16/03/2024</t>
  </si>
  <si>
    <t>£188.73</t>
  </si>
  <si>
    <t>4,246.43</t>
  </si>
  <si>
    <t>£64.78</t>
  </si>
  <si>
    <t>£906.89</t>
  </si>
  <si>
    <t>169.23</t>
  </si>
  <si>
    <t>£ 3,046</t>
  </si>
  <si>
    <t>29 Jan 2024</t>
  </si>
  <si>
    <t>798.98</t>
  </si>
  <si>
    <t>£3,195.93</t>
  </si>
  <si>
    <t>18-03-2024</t>
  </si>
  <si>
    <t>255.01</t>
  </si>
  <si>
    <t>£ 2,805</t>
  </si>
  <si>
    <t>£166.68</t>
  </si>
  <si>
    <t>£ 2,334</t>
  </si>
  <si>
    <t>20-03-2024</t>
  </si>
  <si>
    <t>69.98</t>
  </si>
  <si>
    <t>£773.32</t>
  </si>
  <si>
    <t>63.37</t>
  </si>
  <si>
    <t>£1,077.37</t>
  </si>
  <si>
    <t>19/02/2024</t>
  </si>
  <si>
    <t>£405.86</t>
  </si>
  <si>
    <t>£ 10,147</t>
  </si>
  <si>
    <t>2024/03/23</t>
  </si>
  <si>
    <t>£ 62</t>
  </si>
  <si>
    <t>£559.44</t>
  </si>
  <si>
    <t>07 Jan 2024</t>
  </si>
  <si>
    <t>£70.25</t>
  </si>
  <si>
    <t>491.72</t>
  </si>
  <si>
    <t>01-02-2024</t>
  </si>
  <si>
    <t>£109.68</t>
  </si>
  <si>
    <t>£2,412.86</t>
  </si>
  <si>
    <t>15 Mar 2024</t>
  </si>
  <si>
    <t>32.73</t>
  </si>
  <si>
    <t>471.32</t>
  </si>
  <si>
    <t>£114.98</t>
  </si>
  <si>
    <t>2,184.70</t>
  </si>
  <si>
    <t>£116.67</t>
  </si>
  <si>
    <t>1,685.88</t>
  </si>
  <si>
    <t>32.04</t>
  </si>
  <si>
    <t>256.32</t>
  </si>
  <si>
    <t>2024/01/24</t>
  </si>
  <si>
    <t>£202.54</t>
  </si>
  <si>
    <t>£2,106.46</t>
  </si>
  <si>
    <t>213.06</t>
  </si>
  <si>
    <t>£3,622.03</t>
  </si>
  <si>
    <t>114.11</t>
  </si>
  <si>
    <t>£2,168.06</t>
  </si>
  <si>
    <t>18/01/2024</t>
  </si>
  <si>
    <t>£27.46</t>
  </si>
  <si>
    <t>£329.51</t>
  </si>
  <si>
    <t>17/03/2024</t>
  </si>
  <si>
    <t>£58.57</t>
  </si>
  <si>
    <t>1,279.73</t>
  </si>
  <si>
    <t>2024/01/12</t>
  </si>
  <si>
    <t>35.81</t>
  </si>
  <si>
    <t>£517.40</t>
  </si>
  <si>
    <t>2024/02/01</t>
  </si>
  <si>
    <t>£32.25</t>
  </si>
  <si>
    <t>612.66</t>
  </si>
  <si>
    <t>2024/01/28</t>
  </si>
  <si>
    <t>£425.69</t>
  </si>
  <si>
    <t>3,064.99</t>
  </si>
  <si>
    <t>24.28</t>
  </si>
  <si>
    <t>165.10</t>
  </si>
  <si>
    <t xml:space="preserve">WELCOME15 </t>
  </si>
  <si>
    <t>03-02-2024</t>
  </si>
  <si>
    <t>831.93</t>
  </si>
  <si>
    <t>£14,974.77</t>
  </si>
  <si>
    <t>£33.46</t>
  </si>
  <si>
    <t>£ 361</t>
  </si>
  <si>
    <t>14-03-2024</t>
  </si>
  <si>
    <t>£23.32</t>
  </si>
  <si>
    <t>£ 405</t>
  </si>
  <si>
    <t>£ 288</t>
  </si>
  <si>
    <t>£1,367.39</t>
  </si>
  <si>
    <t>06 Feb 2024</t>
  </si>
  <si>
    <t>£386.65</t>
  </si>
  <si>
    <t>5,219.81</t>
  </si>
  <si>
    <t>£ 32</t>
  </si>
  <si>
    <t>£292.01</t>
  </si>
  <si>
    <t>2024/01/29</t>
  </si>
  <si>
    <t>£24.89</t>
  </si>
  <si>
    <t>£358.35</t>
  </si>
  <si>
    <t>£393.32</t>
  </si>
  <si>
    <t>£ 4,405</t>
  </si>
  <si>
    <t>26-02-2024</t>
  </si>
  <si>
    <t>£38.16</t>
  </si>
  <si>
    <t>114.48</t>
  </si>
  <si>
    <t>£293.70</t>
  </si>
  <si>
    <t>£3,041.13</t>
  </si>
  <si>
    <t>£786.39</t>
  </si>
  <si>
    <t>14,155.03</t>
  </si>
  <si>
    <t>11/02/2024</t>
  </si>
  <si>
    <t>£181.96</t>
  </si>
  <si>
    <t>2,911.40</t>
  </si>
  <si>
    <t>18 / 03 / 2024</t>
  </si>
  <si>
    <t>109.60</t>
  </si>
  <si>
    <t>394.56</t>
  </si>
  <si>
    <t>25-01-2024</t>
  </si>
  <si>
    <t>£127.06</t>
  </si>
  <si>
    <t>£ 1,779</t>
  </si>
  <si>
    <t>£392.01</t>
  </si>
  <si>
    <t>£4,939.35</t>
  </si>
  <si>
    <t>13/01/2024</t>
  </si>
  <si>
    <t>£ 281</t>
  </si>
  <si>
    <t>2,528.88</t>
  </si>
  <si>
    <t xml:space="preserve">SAVE10 </t>
  </si>
  <si>
    <t>470.12</t>
  </si>
  <si>
    <t>£3,290.86</t>
  </si>
  <si>
    <t>£404.82</t>
  </si>
  <si>
    <t>£3,643.40</t>
  </si>
  <si>
    <t>£206.09</t>
  </si>
  <si>
    <t>£1,298.37</t>
  </si>
  <si>
    <t>09-03-2024</t>
  </si>
  <si>
    <t>£784.10</t>
  </si>
  <si>
    <t>£9,409.24</t>
  </si>
  <si>
    <t>267.90</t>
  </si>
  <si>
    <t>1,071.62</t>
  </si>
  <si>
    <t>£639.06</t>
  </si>
  <si>
    <t>31-03-2024</t>
  </si>
  <si>
    <t>£186.71</t>
  </si>
  <si>
    <t>£2,987.44</t>
  </si>
  <si>
    <t>2024/03/19</t>
  </si>
  <si>
    <t>470.44</t>
  </si>
  <si>
    <t>£3,128.41</t>
  </si>
  <si>
    <t>23 Jan 2024</t>
  </si>
  <si>
    <t>£199.66</t>
  </si>
  <si>
    <t>£ 2,995</t>
  </si>
  <si>
    <t>£142.63</t>
  </si>
  <si>
    <t>26 Jan 2024</t>
  </si>
  <si>
    <t>24.82</t>
  </si>
  <si>
    <t>£379.71</t>
  </si>
  <si>
    <t>439.57</t>
  </si>
  <si>
    <t>£ 1,253</t>
  </si>
  <si>
    <t>27/01/2024</t>
  </si>
  <si>
    <t>849.77</t>
  </si>
  <si>
    <t>11,471.88</t>
  </si>
  <si>
    <t>18/02/2024</t>
  </si>
  <si>
    <t>£111.87</t>
  </si>
  <si>
    <t>1,566.21</t>
  </si>
  <si>
    <t>59.92</t>
  </si>
  <si>
    <t>£419.45</t>
  </si>
  <si>
    <t>01/01/2024</t>
  </si>
  <si>
    <t>32.95</t>
  </si>
  <si>
    <t>£105.44</t>
  </si>
  <si>
    <t>2024/03/13</t>
  </si>
  <si>
    <t>127.13</t>
  </si>
  <si>
    <t>£2,034.15</t>
  </si>
  <si>
    <t>17 Feb 2024</t>
  </si>
  <si>
    <t>£213.70</t>
  </si>
  <si>
    <t>£ 2,778</t>
  </si>
  <si>
    <t>07 / 03 / 2024</t>
  </si>
  <si>
    <t>£418.87</t>
  </si>
  <si>
    <t>5,361.50</t>
  </si>
  <si>
    <t>06/03/2024</t>
  </si>
  <si>
    <t>£462.50</t>
  </si>
  <si>
    <t>£5,549.96</t>
  </si>
  <si>
    <t>26/01/2024</t>
  </si>
  <si>
    <t>£182.03</t>
  </si>
  <si>
    <t>1,902.20</t>
  </si>
  <si>
    <t>2024/01/22</t>
  </si>
  <si>
    <t>£38.13</t>
  </si>
  <si>
    <t>£457.59</t>
  </si>
  <si>
    <t>10-03-2024</t>
  </si>
  <si>
    <t>£66.18</t>
  </si>
  <si>
    <t>1,191.19</t>
  </si>
  <si>
    <t>20 Jan 2024</t>
  </si>
  <si>
    <t>£109.67</t>
  </si>
  <si>
    <t>£ 1,563</t>
  </si>
  <si>
    <t>15/02/2024</t>
  </si>
  <si>
    <t>£ 152</t>
  </si>
  <si>
    <t>£2,122.73</t>
  </si>
  <si>
    <t>03 Mar 2024</t>
  </si>
  <si>
    <t>£278.59</t>
  </si>
  <si>
    <t>32.80</t>
  </si>
  <si>
    <t>£442.81</t>
  </si>
  <si>
    <t>67.13</t>
  </si>
  <si>
    <t>182.62</t>
  </si>
  <si>
    <t>£2,629.77</t>
  </si>
  <si>
    <t>14/02/2024</t>
  </si>
  <si>
    <t>£218.69</t>
  </si>
  <si>
    <t>£2,405.63</t>
  </si>
  <si>
    <t>2024/02/25</t>
  </si>
  <si>
    <t>£176.04</t>
  </si>
  <si>
    <t>3,520.85</t>
  </si>
  <si>
    <t>12/01/2024</t>
  </si>
  <si>
    <t>£4,568.16</t>
  </si>
  <si>
    <t>2024/02/11</t>
  </si>
  <si>
    <t>Scotland</t>
  </si>
  <si>
    <t>£131.17</t>
  </si>
  <si>
    <t>£ 2,492</t>
  </si>
  <si>
    <t>£23.39</t>
  </si>
  <si>
    <t>£147.37</t>
  </si>
  <si>
    <t>137.31</t>
  </si>
  <si>
    <t>£1,977.26</t>
  </si>
  <si>
    <t>2024/03/10</t>
  </si>
  <si>
    <t>215.86</t>
  </si>
  <si>
    <t>£3,237.88</t>
  </si>
  <si>
    <t>£124.02</t>
  </si>
  <si>
    <t>28/01/2024</t>
  </si>
  <si>
    <t>£148.38</t>
  </si>
  <si>
    <t>£593.51</t>
  </si>
  <si>
    <t>£ 4,703</t>
  </si>
  <si>
    <t>15-01-2024</t>
  </si>
  <si>
    <t>£182.08</t>
  </si>
  <si>
    <t>£1,820.78</t>
  </si>
  <si>
    <t>2024/03/27</t>
  </si>
  <si>
    <t>381.64</t>
  </si>
  <si>
    <t>£6,487.86</t>
  </si>
  <si>
    <t>29 Feb 2024</t>
  </si>
  <si>
    <t>£ 33</t>
  </si>
  <si>
    <t>£58.53</t>
  </si>
  <si>
    <t>£ 140</t>
  </si>
  <si>
    <t>£2,123.41</t>
  </si>
  <si>
    <t>£132.73</t>
  </si>
  <si>
    <t>£ 110</t>
  </si>
  <si>
    <t>104.21</t>
  </si>
  <si>
    <t>£61.60</t>
  </si>
  <si>
    <t>800.83</t>
  </si>
  <si>
    <t>£ 491</t>
  </si>
  <si>
    <t>06/02/2024</t>
  </si>
  <si>
    <t>£68.73</t>
  </si>
  <si>
    <t>£756.02</t>
  </si>
  <si>
    <t>04 Jan 2024</t>
  </si>
  <si>
    <t>£181.65</t>
  </si>
  <si>
    <t>£980.89</t>
  </si>
  <si>
    <t>09/02/2024</t>
  </si>
  <si>
    <t>£ 441</t>
  </si>
  <si>
    <t>4,413.50</t>
  </si>
  <si>
    <t>17/02/2024</t>
  </si>
  <si>
    <t>£ 27</t>
  </si>
  <si>
    <t>£ 409</t>
  </si>
  <si>
    <t>12 Mar 2024</t>
  </si>
  <si>
    <t>34.40</t>
  </si>
  <si>
    <t>385.27</t>
  </si>
  <si>
    <t>01/02/2024</t>
  </si>
  <si>
    <t>23.62</t>
  </si>
  <si>
    <t>425.21</t>
  </si>
  <si>
    <t>£22.59</t>
  </si>
  <si>
    <t>£474.34</t>
  </si>
  <si>
    <t>£67.45</t>
  </si>
  <si>
    <t>£ 1,518</t>
  </si>
  <si>
    <t>10/01/2024</t>
  </si>
  <si>
    <t>£196.92</t>
  </si>
  <si>
    <t>£3,544.63</t>
  </si>
  <si>
    <t>472.91</t>
  </si>
  <si>
    <t>£4,729.10</t>
  </si>
  <si>
    <t>58.56</t>
  </si>
  <si>
    <t>£1,171.13</t>
  </si>
  <si>
    <t>2024/03/01</t>
  </si>
  <si>
    <t>£32.08</t>
  </si>
  <si>
    <t>£577.36</t>
  </si>
  <si>
    <t>23 Mar 2024</t>
  </si>
  <si>
    <t>£215.70</t>
  </si>
  <si>
    <t>776.51</t>
  </si>
  <si>
    <t>25 Mar 2024</t>
  </si>
  <si>
    <t>£417.11</t>
  </si>
  <si>
    <t>3,336.92</t>
  </si>
  <si>
    <t>13 Mar 2024</t>
  </si>
  <si>
    <t>£909.99</t>
  </si>
  <si>
    <t>£11,829.85</t>
  </si>
  <si>
    <t>25-03-2024</t>
  </si>
  <si>
    <t>£26.33</t>
  </si>
  <si>
    <t>£473.98</t>
  </si>
  <si>
    <t>£128.72</t>
  </si>
  <si>
    <t>£257.44</t>
  </si>
  <si>
    <t>2024/01/27</t>
  </si>
  <si>
    <t>£35.25</t>
  </si>
  <si>
    <t>£100.46</t>
  </si>
  <si>
    <t>13/03/2024</t>
  </si>
  <si>
    <t>£ 283</t>
  </si>
  <si>
    <t>£3,815.96</t>
  </si>
  <si>
    <t>£299.37</t>
  </si>
  <si>
    <t>£898.12</t>
  </si>
  <si>
    <t>05/03/2024</t>
  </si>
  <si>
    <t>£ 383</t>
  </si>
  <si>
    <t>£5,510.12</t>
  </si>
  <si>
    <t>10 Feb 2024</t>
  </si>
  <si>
    <t>146.64</t>
  </si>
  <si>
    <t>£1,451.76</t>
  </si>
  <si>
    <t>£26.49</t>
  </si>
  <si>
    <t>£508.70</t>
  </si>
  <si>
    <t>£401.02</t>
  </si>
  <si>
    <t>5,614.27</t>
  </si>
  <si>
    <t>02-03-2024</t>
  </si>
  <si>
    <t>£430.78</t>
  </si>
  <si>
    <t>3,876.99</t>
  </si>
  <si>
    <t>13 / 03 / 2024</t>
  </si>
  <si>
    <t>216.92</t>
  </si>
  <si>
    <t>3,503.33</t>
  </si>
  <si>
    <t>20 Mar 2024</t>
  </si>
  <si>
    <t>£34.17</t>
  </si>
  <si>
    <t>£615.14</t>
  </si>
  <si>
    <t>£188.50</t>
  </si>
  <si>
    <t>£ 1,960</t>
  </si>
  <si>
    <t>2024/02/03</t>
  </si>
  <si>
    <t>£208.41</t>
  </si>
  <si>
    <t>£ 2,657</t>
  </si>
  <si>
    <t>£32.64</t>
  </si>
  <si>
    <t>£65.29</t>
  </si>
  <si>
    <t>28 Feb 2024</t>
  </si>
  <si>
    <t>£1,211.40</t>
  </si>
  <si>
    <t>27-01-2024</t>
  </si>
  <si>
    <t>£127.24</t>
  </si>
  <si>
    <t>£2,417.51</t>
  </si>
  <si>
    <t>13 Feb 2024</t>
  </si>
  <si>
    <t>£257.38</t>
  </si>
  <si>
    <t>5,868.32</t>
  </si>
  <si>
    <t>2024/02/02</t>
  </si>
  <si>
    <t>£36.29</t>
  </si>
  <si>
    <t>£580.64</t>
  </si>
  <si>
    <t>09 / 03 / 2024</t>
  </si>
  <si>
    <t>£294.41</t>
  </si>
  <si>
    <t>£5,005.00</t>
  </si>
  <si>
    <t>£128.45</t>
  </si>
  <si>
    <t>£1,669.90</t>
  </si>
  <si>
    <t>674.23</t>
  </si>
  <si>
    <t>30-01-2024</t>
  </si>
  <si>
    <t>171.64</t>
  </si>
  <si>
    <t>3,261.21</t>
  </si>
  <si>
    <t>25.87</t>
  </si>
  <si>
    <t>362.12</t>
  </si>
  <si>
    <t>£24.19</t>
  </si>
  <si>
    <t>411.21</t>
  </si>
  <si>
    <t>2024/02/16</t>
  </si>
  <si>
    <t>£127.18</t>
  </si>
  <si>
    <t>508.70</t>
  </si>
  <si>
    <t>2024/03/07</t>
  </si>
  <si>
    <t>£36.78</t>
  </si>
  <si>
    <t>£919.60</t>
  </si>
  <si>
    <t>2024 / 02 / 10</t>
  </si>
  <si>
    <t>126.22</t>
  </si>
  <si>
    <t>£ 1,704</t>
  </si>
  <si>
    <t>2024/02/09</t>
  </si>
  <si>
    <t>70.04</t>
  </si>
  <si>
    <t>£ 840</t>
  </si>
  <si>
    <t>£171.35</t>
  </si>
  <si>
    <t>342.70</t>
  </si>
  <si>
    <t>£418.19</t>
  </si>
  <si>
    <t>£4,767.36</t>
  </si>
  <si>
    <t>£65.17</t>
  </si>
  <si>
    <t>293.27</t>
  </si>
  <si>
    <t>18 Jan 2024</t>
  </si>
  <si>
    <t>£765.35</t>
  </si>
  <si>
    <t>£ 13,776</t>
  </si>
  <si>
    <t>10/03/2024</t>
  </si>
  <si>
    <t>301.84</t>
  </si>
  <si>
    <t>£7,244.22</t>
  </si>
  <si>
    <t>£868.17</t>
  </si>
  <si>
    <t>£15,626.98</t>
  </si>
  <si>
    <t>£916.81</t>
  </si>
  <si>
    <t>13,202.09</t>
  </si>
  <si>
    <t>2024/03/20</t>
  </si>
  <si>
    <t>34.62</t>
  </si>
  <si>
    <t>£ 499</t>
  </si>
  <si>
    <t>£125.74</t>
  </si>
  <si>
    <t>£1,923.83</t>
  </si>
  <si>
    <t>£126.06</t>
  </si>
  <si>
    <t>£598.77</t>
  </si>
  <si>
    <t>891.33</t>
  </si>
  <si>
    <t>£8,022.01</t>
  </si>
  <si>
    <t>2024/03/09</t>
  </si>
  <si>
    <t>£204.12</t>
  </si>
  <si>
    <t>3,490.43</t>
  </si>
  <si>
    <t>£278.13</t>
  </si>
  <si>
    <t>£1,001.26</t>
  </si>
  <si>
    <t>15/03/2024</t>
  </si>
  <si>
    <t>£33.23</t>
  </si>
  <si>
    <t>£ 366</t>
  </si>
  <si>
    <t>19 Feb 2024</t>
  </si>
  <si>
    <t>£838.41</t>
  </si>
  <si>
    <t>8,384.13</t>
  </si>
  <si>
    <t>2024/01/17</t>
  </si>
  <si>
    <t>59.38</t>
  </si>
  <si>
    <t>£1,484.45</t>
  </si>
  <si>
    <t>13-02-2024</t>
  </si>
  <si>
    <t>35.12</t>
  </si>
  <si>
    <t>£421.49</t>
  </si>
  <si>
    <t>£27.05</t>
  </si>
  <si>
    <t>£405.79</t>
  </si>
  <si>
    <t>2024/01/15</t>
  </si>
  <si>
    <t>£23.50</t>
  </si>
  <si>
    <t>253.75</t>
  </si>
  <si>
    <t>05-02-2024</t>
  </si>
  <si>
    <t>£467.49</t>
  </si>
  <si>
    <t>£7,012.38</t>
  </si>
  <si>
    <t>£198.57</t>
  </si>
  <si>
    <t>£3,772.84</t>
  </si>
  <si>
    <t>£61.49</t>
  </si>
  <si>
    <t>860.89</t>
  </si>
  <si>
    <t>2024/01/02</t>
  </si>
  <si>
    <t>£465.76</t>
  </si>
  <si>
    <t>£ 8,384</t>
  </si>
  <si>
    <t>397.12</t>
  </si>
  <si>
    <t>1,985.58</t>
  </si>
  <si>
    <t>18 Mar 2024</t>
  </si>
  <si>
    <t>177.33</t>
  </si>
  <si>
    <t>£2,269.77</t>
  </si>
  <si>
    <t>£144.90</t>
  </si>
  <si>
    <t>£1,304.07</t>
  </si>
  <si>
    <t>09 Jan 2024</t>
  </si>
  <si>
    <t>269.35</t>
  </si>
  <si>
    <t>£1,346.73</t>
  </si>
  <si>
    <t>£190.52</t>
  </si>
  <si>
    <t>£ 4,525</t>
  </si>
  <si>
    <t>280.25</t>
  </si>
  <si>
    <t>3,026.66</t>
  </si>
  <si>
    <t xml:space="preserve">save10 </t>
  </si>
  <si>
    <t>26-03-2024</t>
  </si>
  <si>
    <t>£ 295</t>
  </si>
  <si>
    <t>5,309.25</t>
  </si>
  <si>
    <t>09-01-2024</t>
  </si>
  <si>
    <t>£451.38</t>
  </si>
  <si>
    <t>22-03-2024</t>
  </si>
  <si>
    <t>492.51</t>
  </si>
  <si>
    <t>£6,402.67</t>
  </si>
  <si>
    <t>£34.12</t>
  </si>
  <si>
    <t>£ 614</t>
  </si>
  <si>
    <t>11 Jan 2024</t>
  </si>
  <si>
    <t>393.42</t>
  </si>
  <si>
    <t>£4,347.27</t>
  </si>
  <si>
    <t>17-03-2024</t>
  </si>
  <si>
    <t>£ 23</t>
  </si>
  <si>
    <t>£391.59</t>
  </si>
  <si>
    <t>£3,465.97</t>
  </si>
  <si>
    <t>£439.80</t>
  </si>
  <si>
    <t>5,717.35</t>
  </si>
  <si>
    <t>04-02-2024</t>
  </si>
  <si>
    <t>£35.00</t>
  </si>
  <si>
    <t>£ 490</t>
  </si>
  <si>
    <t>£470.97</t>
  </si>
  <si>
    <t>£5,934.27</t>
  </si>
  <si>
    <t>£25.86</t>
  </si>
  <si>
    <t>186.22</t>
  </si>
  <si>
    <t>£257.91</t>
  </si>
  <si>
    <t>£804.70</t>
  </si>
  <si>
    <t>£ 7,081</t>
  </si>
  <si>
    <t>16-01-2024</t>
  </si>
  <si>
    <t>500.20</t>
  </si>
  <si>
    <t>£ 148</t>
  </si>
  <si>
    <t>£ 1,539</t>
  </si>
  <si>
    <t>2024/01/05</t>
  </si>
  <si>
    <t>£201.53</t>
  </si>
  <si>
    <t>£1,612.25</t>
  </si>
  <si>
    <t>33.83</t>
  </si>
  <si>
    <t>£ 68</t>
  </si>
  <si>
    <t>19-01-2024</t>
  </si>
  <si>
    <t>£454.32</t>
  </si>
  <si>
    <t>£3,180.25</t>
  </si>
  <si>
    <t>£262.06</t>
  </si>
  <si>
    <t>4,717.07</t>
  </si>
  <si>
    <t>23.11</t>
  </si>
  <si>
    <t>£115.55</t>
  </si>
  <si>
    <t>£181.08</t>
  </si>
  <si>
    <t>£ 3,259</t>
  </si>
  <si>
    <t>£ 794</t>
  </si>
  <si>
    <t>£14,295.11</t>
  </si>
  <si>
    <t>£137.82</t>
  </si>
  <si>
    <t>£2,728.77</t>
  </si>
  <si>
    <t>281.76</t>
  </si>
  <si>
    <t>£2,028.69</t>
  </si>
  <si>
    <t>60.85</t>
  </si>
  <si>
    <t>£920.16</t>
  </si>
  <si>
    <t>31/01/2024</t>
  </si>
  <si>
    <t>£191.03</t>
  </si>
  <si>
    <t>£ 2,865</t>
  </si>
  <si>
    <t>435.55</t>
  </si>
  <si>
    <t>6,271.92</t>
  </si>
  <si>
    <t>£443.05</t>
  </si>
  <si>
    <t>£ 5,317</t>
  </si>
  <si>
    <t>£135.20</t>
  </si>
  <si>
    <t>£123.75</t>
  </si>
  <si>
    <t>£1,893.39</t>
  </si>
  <si>
    <t>£3,807.30</t>
  </si>
  <si>
    <t>£35.02</t>
  </si>
  <si>
    <t>£140.07</t>
  </si>
  <si>
    <t>£ 272</t>
  </si>
  <si>
    <t>£2,995.96</t>
  </si>
  <si>
    <t>25 Jan 2024</t>
  </si>
  <si>
    <t>116.92</t>
  </si>
  <si>
    <t>2,221.45</t>
  </si>
  <si>
    <t>30-03-2024</t>
  </si>
  <si>
    <t>894.09</t>
  </si>
  <si>
    <t>£6,437.45</t>
  </si>
  <si>
    <t>2024/03/31</t>
  </si>
  <si>
    <t>410.27</t>
  </si>
  <si>
    <t>£7,015.59</t>
  </si>
  <si>
    <t>£188.40</t>
  </si>
  <si>
    <t>1,281.11</t>
  </si>
  <si>
    <t>£446.62</t>
  </si>
  <si>
    <t>£8,932.30</t>
  </si>
  <si>
    <t>03/01/2024</t>
  </si>
  <si>
    <t>£796.93</t>
  </si>
  <si>
    <t>£10,360.14</t>
  </si>
  <si>
    <t>10 / 03 / 2024</t>
  </si>
  <si>
    <t>184.25</t>
  </si>
  <si>
    <t>£165.83</t>
  </si>
  <si>
    <t>£876.41</t>
  </si>
  <si>
    <t>£12,269.77</t>
  </si>
  <si>
    <t>2024/01/19</t>
  </si>
  <si>
    <t>67.43</t>
  </si>
  <si>
    <t>1,294.72</t>
  </si>
  <si>
    <t>09 Mar 2024</t>
  </si>
  <si>
    <t>£174.69</t>
  </si>
  <si>
    <t>2,620.41</t>
  </si>
  <si>
    <t>£8,841.34</t>
  </si>
  <si>
    <t>164.66</t>
  </si>
  <si>
    <t>£526.90</t>
  </si>
  <si>
    <t>447.95</t>
  </si>
  <si>
    <t>£7,615.07</t>
  </si>
  <si>
    <t>09-02-2024</t>
  </si>
  <si>
    <t>£36.03</t>
  </si>
  <si>
    <t>£504.37</t>
  </si>
  <si>
    <t>£ 893</t>
  </si>
  <si>
    <t>£11,874.05</t>
  </si>
  <si>
    <t>£ 168</t>
  </si>
  <si>
    <t>£838.99</t>
  </si>
  <si>
    <t>02 Feb 2024</t>
  </si>
  <si>
    <t>£ 901</t>
  </si>
  <si>
    <t>£14,588.99</t>
  </si>
  <si>
    <t>£ 299</t>
  </si>
  <si>
    <t>£5,686.91</t>
  </si>
  <si>
    <t>£37.80</t>
  </si>
  <si>
    <t>£567.01</t>
  </si>
  <si>
    <t>Field</t>
  </si>
  <si>
    <t>Description</t>
  </si>
  <si>
    <t>Type/Format</t>
  </si>
  <si>
    <t>Allowed values / Notes</t>
  </si>
  <si>
    <t>Unique order identifier (should be unique).</t>
  </si>
  <si>
    <t>Integer</t>
  </si>
  <si>
    <t>Duplicates exist intentionally - you must detect &amp; decide handling.</t>
  </si>
  <si>
    <t>Order date.</t>
  </si>
  <si>
    <t>Mixed date formats; some spaces; standardise to DD/MM/YYYY.</t>
  </si>
  <si>
    <t>Sales region.</t>
  </si>
  <si>
    <t>Text</t>
  </si>
  <si>
    <t>Standard list in 'Ref_Regions' section below.</t>
  </si>
  <si>
    <t>Store name within region.</t>
  </si>
  <si>
    <t>Should match valid stores for the region; minor inconsistencies may exist.</t>
  </si>
  <si>
    <t>Product name.</t>
  </si>
  <si>
    <t>Use PriceList for UnitPrice lookup.</t>
  </si>
  <si>
    <t>Product category.</t>
  </si>
  <si>
    <t>Electronics or Furniture (spelling/case issues exist).</t>
  </si>
  <si>
    <t>Sales representative.</t>
  </si>
  <si>
    <t>Sarah, James, Priya, Omar, Hannah, Ben.</t>
  </si>
  <si>
    <t>Quantity ordered.</t>
  </si>
  <si>
    <t>Whole number</t>
  </si>
  <si>
    <t>Should be &gt;=1. Negative values are data errors.</t>
  </si>
  <si>
    <t>Price per unit.</t>
  </si>
  <si>
    <t>Currency/Number</t>
  </si>
  <si>
    <t>Some missing or text values; recover via lookup + assumptions.</t>
  </si>
  <si>
    <t>Units * UnitPrice * (1-Discount).</t>
  </si>
  <si>
    <t>Some missing/incorrect; recompute in Clean_Data.</t>
  </si>
  <si>
    <t>Promo/discount code.</t>
  </si>
  <si>
    <t>Valid: SAVE10, BULK20, CLEAR5, WELCOME15 or blank.</t>
  </si>
  <si>
    <t>Customer segment.</t>
  </si>
  <si>
    <t>Business or Retail (case/blank issues exist).</t>
  </si>
  <si>
    <t>Whether order was returned.</t>
  </si>
  <si>
    <t>Y or N (blanks exist).</t>
  </si>
  <si>
    <t>Reference: PriceList</t>
  </si>
  <si>
    <t>ListPrice_GBP</t>
  </si>
  <si>
    <t>Notes</t>
  </si>
  <si>
    <t>List price used for lookup when UnitPrice missing.</t>
  </si>
  <si>
    <t>Reference: DiscountRules</t>
  </si>
  <si>
    <t>DiscountRate</t>
  </si>
  <si>
    <t>IntendedEligibility</t>
  </si>
  <si>
    <t>10% off standard orders</t>
  </si>
  <si>
    <t>All customers</t>
  </si>
  <si>
    <t>20% off when Units &gt;= 10 (intended)</t>
  </si>
  <si>
    <t>Business only (intended)</t>
  </si>
  <si>
    <t>5% clearance discount on selected items</t>
  </si>
  <si>
    <t>Retail only (intended)</t>
  </si>
  <si>
    <t>15% off first order (treat as promo)</t>
  </si>
  <si>
    <t>All customers (promo)</t>
  </si>
  <si>
    <t>Reference: Valid Regions &amp; Stores</t>
  </si>
  <si>
    <t>ValidStores (comma-separated)</t>
  </si>
  <si>
    <t>Oxford St, Westfield, Canary Wharf, Stratford</t>
  </si>
  <si>
    <t>Arndale, Trafford, Piccadilly</t>
  </si>
  <si>
    <t>Bullring, New Street</t>
  </si>
  <si>
    <t>Edinburgh, Glasgow</t>
  </si>
  <si>
    <t>Liverpool One, Leeds Trinity</t>
  </si>
  <si>
    <t>Brighton, Reading</t>
  </si>
  <si>
    <t>UnitPrice_Num</t>
  </si>
  <si>
    <t>Revenue_Num</t>
  </si>
  <si>
    <t>Total Orders</t>
  </si>
  <si>
    <t>Total NetRevenue (£)</t>
  </si>
  <si>
    <t>Return Rate</t>
  </si>
  <si>
    <t>Discount Utilisation</t>
  </si>
  <si>
    <t>UK Retail Orders Dashboard (Build from Clean_Orders)</t>
  </si>
  <si>
    <t>KPIs (link to Analysis KPIs or formulas)</t>
  </si>
  <si>
    <t>Avg Order Value (£)</t>
  </si>
  <si>
    <t>Row Labels</t>
  </si>
  <si>
    <t>Grand Total</t>
  </si>
  <si>
    <t/>
  </si>
  <si>
    <t>Discount Rate</t>
  </si>
  <si>
    <t>False</t>
  </si>
  <si>
    <t>Data IssueFlag</t>
  </si>
  <si>
    <t>Sum of Units</t>
  </si>
  <si>
    <t>Top Region share</t>
  </si>
  <si>
    <t>Revenue3</t>
  </si>
  <si>
    <t>True</t>
  </si>
  <si>
    <t>Count of OrderID</t>
  </si>
  <si>
    <t>NetRevenue by Region</t>
  </si>
  <si>
    <t xml:space="preserve"> Top 10 Products by NetRevenue</t>
  </si>
  <si>
    <t>Monthly NetRevenue trend</t>
  </si>
  <si>
    <t>Return Rate by Category or Product</t>
  </si>
  <si>
    <t>Pivot Table</t>
  </si>
  <si>
    <t xml:space="preserve">   NetRevenue and Units by Category, split by CustomerType </t>
  </si>
  <si>
    <t>Monthly trend: NetRevenue by Month (Group Date by Months)</t>
  </si>
  <si>
    <t xml:space="preserve">   Returned Rate by Product </t>
  </si>
  <si>
    <t>Net_Revenue</t>
  </si>
  <si>
    <t>Sum of Net_Revenue</t>
  </si>
  <si>
    <t>Returned_value</t>
  </si>
  <si>
    <t>Sum of Returned_value</t>
  </si>
  <si>
    <t>Returned_Rate</t>
  </si>
  <si>
    <t xml:space="preserve"> Total NetRevenue by Region </t>
  </si>
  <si>
    <t>UK Retail Performance &amp; Data Quality Mini-Capstone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</si>
</sst>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0.00"/>
  </numFmts>
  <fonts count="8" x14ac:knownFonts="1">
    <font>
      <sz val="11"/>
      <color theme="1"/>
      <name val="Calibri"/>
      <family val="2"/>
      <scheme val="minor"/>
    </font>
    <font>
      <b/>
      <sz val="11"/>
      <color rgb="FFFFFFFF"/>
      <name val="Calibri"/>
      <family val="2"/>
    </font>
    <font>
      <b/>
      <sz val="11"/>
      <name val="Calibri"/>
      <family val="2"/>
    </font>
    <font>
      <b/>
      <sz val="16"/>
      <name val="Calibri"/>
      <family val="2"/>
    </font>
    <font>
      <b/>
      <sz val="11"/>
      <color rgb="FFFFFFFF"/>
      <name val="Calibri"/>
      <family val="2"/>
    </font>
    <font>
      <b/>
      <sz val="11"/>
      <color theme="1"/>
      <name val="Calibri"/>
      <family val="2"/>
      <scheme val="minor"/>
    </font>
    <font>
      <sz val="11"/>
      <color theme="1"/>
      <name val="Calibri"/>
      <family val="2"/>
      <scheme val="minor"/>
    </font>
    <font>
      <b/>
      <sz val="18"/>
      <color theme="0"/>
      <name val="Calibri"/>
      <family val="2"/>
      <scheme val="minor"/>
    </font>
  </fonts>
  <fills count="5">
    <fill>
      <patternFill patternType="none"/>
    </fill>
    <fill>
      <patternFill patternType="gray125"/>
    </fill>
    <fill>
      <patternFill patternType="solid">
        <fgColor rgb="FF4F81BD"/>
      </patternFill>
    </fill>
    <fill>
      <patternFill patternType="solid">
        <fgColor theme="3" tint="0.79998168889431442"/>
        <bgColor indexed="64"/>
      </patternFill>
    </fill>
    <fill>
      <patternFill patternType="solid">
        <fgColor theme="7" tint="-0.249977111117893"/>
        <bgColor indexed="64"/>
      </patternFill>
    </fill>
  </fills>
  <borders count="1">
    <border>
      <left/>
      <right/>
      <top/>
      <bottom/>
      <diagonal/>
    </border>
  </borders>
  <cellStyleXfs count="2">
    <xf numFmtId="0" fontId="0" fillId="0" borderId="0"/>
    <xf numFmtId="9" fontId="6" fillId="0" borderId="0" applyFont="0" applyFill="0" applyBorder="0" applyAlignment="0" applyProtection="0"/>
  </cellStyleXfs>
  <cellXfs count="32">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xf>
    <xf numFmtId="0" fontId="1" fillId="2" borderId="0" xfId="0" applyFont="1" applyFill="1" applyAlignment="1">
      <alignment horizontal="center" vertical="center" wrapText="1"/>
    </xf>
    <xf numFmtId="0" fontId="2" fillId="0" borderId="0" xfId="0" applyFont="1"/>
    <xf numFmtId="2" fontId="0" fillId="0" borderId="0" xfId="0" applyNumberFormat="1"/>
    <xf numFmtId="0" fontId="0" fillId="0" borderId="0" xfId="0" pivotButton="1"/>
    <xf numFmtId="0" fontId="0" fillId="0" borderId="0" xfId="0" applyAlignment="1">
      <alignment horizontal="left"/>
    </xf>
    <xf numFmtId="2" fontId="1" fillId="2" borderId="0" xfId="0" applyNumberFormat="1" applyFont="1" applyFill="1" applyAlignment="1">
      <alignment horizontal="center" vertical="center" wrapText="1"/>
    </xf>
    <xf numFmtId="164" fontId="0" fillId="0" borderId="0" xfId="0" applyNumberFormat="1" applyAlignment="1">
      <alignment horizontal="center"/>
    </xf>
    <xf numFmtId="2" fontId="0" fillId="0" borderId="0" xfId="0" applyNumberFormat="1" applyAlignment="1">
      <alignment horizontal="center"/>
    </xf>
    <xf numFmtId="14" fontId="0" fillId="0" borderId="0" xfId="0" applyNumberFormat="1"/>
    <xf numFmtId="14" fontId="1" fillId="2" borderId="0" xfId="0" applyNumberFormat="1" applyFont="1" applyFill="1" applyAlignment="1">
      <alignment horizontal="center" vertical="center" wrapText="1"/>
    </xf>
    <xf numFmtId="0" fontId="4" fillId="2" borderId="0" xfId="0" applyFont="1" applyFill="1" applyAlignment="1">
      <alignment horizontal="center" vertical="center" wrapText="1"/>
    </xf>
    <xf numFmtId="164" fontId="4" fillId="2" borderId="0" xfId="0" applyNumberFormat="1" applyFont="1" applyFill="1" applyAlignment="1">
      <alignment horizontal="center" vertical="center" wrapText="1"/>
    </xf>
    <xf numFmtId="2" fontId="4" fillId="2" borderId="0" xfId="0" applyNumberFormat="1" applyFont="1" applyFill="1" applyAlignment="1">
      <alignment horizontal="center" vertical="center"/>
    </xf>
    <xf numFmtId="0" fontId="0" fillId="0" borderId="0" xfId="0" applyAlignment="1">
      <alignment horizontal="center"/>
    </xf>
    <xf numFmtId="1" fontId="1" fillId="2" borderId="0" xfId="0" applyNumberFormat="1" applyFont="1" applyFill="1" applyAlignment="1">
      <alignment horizontal="center" vertical="center" wrapText="1"/>
    </xf>
    <xf numFmtId="1" fontId="0" fillId="0" borderId="0" xfId="0" applyNumberFormat="1"/>
    <xf numFmtId="164" fontId="0" fillId="0" borderId="0" xfId="0" applyNumberFormat="1"/>
    <xf numFmtId="0" fontId="0" fillId="3" borderId="0" xfId="0" applyFill="1"/>
    <xf numFmtId="9" fontId="0" fillId="0" borderId="0" xfId="1" applyFont="1"/>
    <xf numFmtId="10" fontId="5" fillId="3" borderId="0" xfId="1" applyNumberFormat="1" applyFont="1" applyFill="1"/>
    <xf numFmtId="10" fontId="0" fillId="0" borderId="0" xfId="1" applyNumberFormat="1" applyFont="1"/>
    <xf numFmtId="0" fontId="0" fillId="3" borderId="0" xfId="0" applyFill="1" applyAlignment="1">
      <alignment horizontal="left"/>
    </xf>
    <xf numFmtId="0" fontId="3" fillId="0" borderId="0" xfId="0" applyFont="1"/>
    <xf numFmtId="0" fontId="0" fillId="0" borderId="0" xfId="0"/>
    <xf numFmtId="0" fontId="0" fillId="0" borderId="0" xfId="0" applyAlignment="1">
      <alignment horizontal="center"/>
    </xf>
    <xf numFmtId="0" fontId="5" fillId="0" borderId="0" xfId="0" applyFont="1" applyAlignment="1">
      <alignment horizontal="left" vertical="center"/>
    </xf>
    <xf numFmtId="0" fontId="0" fillId="0" borderId="0" xfId="0" applyAlignment="1">
      <alignment vertical="center"/>
    </xf>
    <xf numFmtId="0" fontId="7" fillId="4" borderId="0" xfId="0" applyFont="1" applyFill="1" applyAlignment="1">
      <alignment horizontal="center" vertical="center"/>
    </xf>
    <xf numFmtId="0" fontId="0" fillId="0" borderId="0" xfId="0" applyAlignment="1">
      <alignment horizontal="right"/>
    </xf>
  </cellXfs>
  <cellStyles count="2">
    <cellStyle name="Normal" xfId="0" builtinId="0"/>
    <cellStyle name="Percent" xfId="1" builtinId="5"/>
  </cellStyles>
  <dxfs count="14">
    <dxf>
      <font>
        <color rgb="FF9C0006"/>
      </font>
      <fill>
        <patternFill>
          <bgColor rgb="FFFFC7CE"/>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numFmt numFmtId="0" formatCode="General"/>
    </dxf>
    <dxf>
      <numFmt numFmtId="164" formatCode="[$£-809]#,##0.00"/>
    </dxf>
    <dxf>
      <numFmt numFmtId="2" formatCode="0.00"/>
      <alignment horizontal="center" vertical="bottom" textRotation="0" wrapText="0" indent="0" justifyLastLine="0" shrinkToFit="0" readingOrder="0"/>
    </dxf>
    <dxf>
      <numFmt numFmtId="2" formatCode="0.00"/>
    </dxf>
    <dxf>
      <numFmt numFmtId="2" formatCode="0.00"/>
    </dxf>
    <dxf>
      <numFmt numFmtId="164" formatCode="[$£-809]#,##0.00"/>
      <alignment horizontal="center" vertical="bottom" textRotation="0" wrapText="0" indent="0" justifyLastLine="0" shrinkToFit="0" readingOrder="0"/>
    </dxf>
    <dxf>
      <numFmt numFmtId="164" formatCode="[$£-809]#,##0.00"/>
      <alignment horizontal="center" vertical="bottom" textRotation="0" wrapText="0" indent="0" justifyLastLine="0" shrinkToFit="0" readingOrder="0"/>
    </dxf>
    <dxf>
      <numFmt numFmtId="1" formatCode="0"/>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NetRevenue</a:t>
            </a:r>
            <a:r>
              <a:rPr lang="en-US" baseline="0"/>
              <a:t> by Region</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3"/>
          <c:order val="0"/>
          <c:tx>
            <c:v>Total</c:v>
          </c:tx>
          <c:invertIfNegative val="0"/>
          <c:cat>
            <c:strLit>
              <c:ptCount val="6"/>
              <c:pt idx="0">
                <c:v>Birmingham</c:v>
              </c:pt>
              <c:pt idx="1">
                <c:v>London</c:v>
              </c:pt>
              <c:pt idx="2">
                <c:v>Manchester</c:v>
              </c:pt>
              <c:pt idx="3">
                <c:v>North West</c:v>
              </c:pt>
              <c:pt idx="4">
                <c:v>Scotland</c:v>
              </c:pt>
              <c:pt idx="5">
                <c:v>South East</c:v>
              </c:pt>
            </c:strLit>
          </c:cat>
          <c:val>
            <c:numLit>
              <c:formatCode>General</c:formatCode>
              <c:ptCount val="6"/>
              <c:pt idx="0">
                <c:v>123199.5885</c:v>
              </c:pt>
              <c:pt idx="1">
                <c:v>327345.51250000001</c:v>
              </c:pt>
              <c:pt idx="2">
                <c:v>149217.33500000002</c:v>
              </c:pt>
              <c:pt idx="3">
                <c:v>151124.94750000004</c:v>
              </c:pt>
              <c:pt idx="4">
                <c:v>109596.65949999999</c:v>
              </c:pt>
              <c:pt idx="5">
                <c:v>109123.18199999999</c:v>
              </c:pt>
            </c:numLit>
          </c:val>
          <c:extLst>
            <c:ext xmlns:c16="http://schemas.microsoft.com/office/drawing/2014/chart" uri="{C3380CC4-5D6E-409C-BE32-E72D297353CC}">
              <c16:uniqueId val="{00000009-912C-4AD3-B4C9-5C51093E519F}"/>
            </c:ext>
          </c:extLst>
        </c:ser>
        <c:dLbls>
          <c:showLegendKey val="0"/>
          <c:showVal val="0"/>
          <c:showCatName val="0"/>
          <c:showSerName val="0"/>
          <c:showPercent val="0"/>
          <c:showBubbleSize val="0"/>
        </c:dLbls>
        <c:gapWidth val="219"/>
        <c:overlap val="-27"/>
        <c:axId val="1381790255"/>
        <c:axId val="1163047759"/>
      </c:barChart>
      <c:catAx>
        <c:axId val="138179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47759"/>
        <c:crosses val="autoZero"/>
        <c:auto val="1"/>
        <c:lblAlgn val="ctr"/>
        <c:lblOffset val="100"/>
        <c:noMultiLvlLbl val="0"/>
      </c:catAx>
      <c:valAx>
        <c:axId val="116304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79025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Desk Chair</c:v>
              </c:pt>
              <c:pt idx="1">
                <c:v>Desk Lamp</c:v>
              </c:pt>
              <c:pt idx="2">
                <c:v>Docking Station</c:v>
              </c:pt>
              <c:pt idx="3">
                <c:v>Headset</c:v>
              </c:pt>
              <c:pt idx="4">
                <c:v>Laptop</c:v>
              </c:pt>
              <c:pt idx="5">
                <c:v>Laptop Pro</c:v>
              </c:pt>
              <c:pt idx="6">
                <c:v>Monitor 24in</c:v>
              </c:pt>
              <c:pt idx="7">
                <c:v>Office Desk</c:v>
              </c:pt>
              <c:pt idx="8">
                <c:v>Printer</c:v>
              </c:pt>
              <c:pt idx="9">
                <c:v>Standing Desk</c:v>
              </c:pt>
            </c:strLit>
          </c:cat>
          <c:val>
            <c:numLit>
              <c:formatCode>General</c:formatCode>
              <c:ptCount val="10"/>
              <c:pt idx="0">
                <c:v>49189.26</c:v>
              </c:pt>
              <c:pt idx="1">
                <c:v>12394.914999999999</c:v>
              </c:pt>
              <c:pt idx="2">
                <c:v>43143.726999999999</c:v>
              </c:pt>
              <c:pt idx="3">
                <c:v>30053.240999999995</c:v>
              </c:pt>
              <c:pt idx="4">
                <c:v>150900.22050000002</c:v>
              </c:pt>
              <c:pt idx="5">
                <c:v>345536.45899999997</c:v>
              </c:pt>
              <c:pt idx="6">
                <c:v>72071.745999999999</c:v>
              </c:pt>
              <c:pt idx="7">
                <c:v>109432.56</c:v>
              </c:pt>
              <c:pt idx="8">
                <c:v>63990.205999999998</c:v>
              </c:pt>
              <c:pt idx="9">
                <c:v>156918.61900000001</c:v>
              </c:pt>
            </c:numLit>
          </c:val>
          <c:extLst>
            <c:ext xmlns:c16="http://schemas.microsoft.com/office/drawing/2014/chart" uri="{C3380CC4-5D6E-409C-BE32-E72D297353CC}">
              <c16:uniqueId val="{00000000-13FF-4ACF-8754-EDE4FE744572}"/>
            </c:ext>
          </c:extLst>
        </c:ser>
        <c:dLbls>
          <c:showLegendKey val="0"/>
          <c:showVal val="0"/>
          <c:showCatName val="0"/>
          <c:showSerName val="0"/>
          <c:showPercent val="0"/>
          <c:showBubbleSize val="0"/>
        </c:dLbls>
        <c:gapWidth val="219"/>
        <c:overlap val="-27"/>
        <c:axId val="1383197519"/>
        <c:axId val="1383198479"/>
      </c:barChart>
      <c:catAx>
        <c:axId val="138319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198479"/>
        <c:crosses val="autoZero"/>
        <c:auto val="1"/>
        <c:lblAlgn val="ctr"/>
        <c:lblOffset val="100"/>
        <c:noMultiLvlLbl val="0"/>
      </c:catAx>
      <c:valAx>
        <c:axId val="138319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19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Jan</c:v>
              </c:pt>
              <c:pt idx="1">
                <c:v>Feb</c:v>
              </c:pt>
              <c:pt idx="2">
                <c:v>Mar</c:v>
              </c:pt>
            </c:strLit>
          </c:cat>
          <c:val>
            <c:numLit>
              <c:formatCode>General</c:formatCode>
              <c:ptCount val="3"/>
              <c:pt idx="0">
                <c:v>305964.82650000002</c:v>
              </c:pt>
              <c:pt idx="1">
                <c:v>363436.66350000008</c:v>
              </c:pt>
              <c:pt idx="2">
                <c:v>384169.82499999972</c:v>
              </c:pt>
            </c:numLit>
          </c:val>
          <c:smooth val="0"/>
          <c:extLst>
            <c:ext xmlns:c16="http://schemas.microsoft.com/office/drawing/2014/chart" uri="{C3380CC4-5D6E-409C-BE32-E72D297353CC}">
              <c16:uniqueId val="{00000000-4A31-439B-81D5-27DADF34F462}"/>
            </c:ext>
          </c:extLst>
        </c:ser>
        <c:dLbls>
          <c:showLegendKey val="0"/>
          <c:showVal val="0"/>
          <c:showCatName val="0"/>
          <c:showSerName val="0"/>
          <c:showPercent val="0"/>
          <c:showBubbleSize val="0"/>
        </c:dLbls>
        <c:marker val="1"/>
        <c:smooth val="0"/>
        <c:axId val="2143608015"/>
        <c:axId val="2143615695"/>
      </c:lineChart>
      <c:catAx>
        <c:axId val="214360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615695"/>
        <c:crosses val="autoZero"/>
        <c:auto val="1"/>
        <c:lblAlgn val="ctr"/>
        <c:lblOffset val="100"/>
        <c:noMultiLvlLbl val="0"/>
      </c:catAx>
      <c:valAx>
        <c:axId val="214361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60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2"/>
          <c:order val="2"/>
          <c:tx>
            <c:strRef>
              <c:f>Chart!$D$90</c:f>
              <c:strCache>
                <c:ptCount val="1"/>
                <c:pt idx="0">
                  <c:v>Returned_Rate</c:v>
                </c:pt>
              </c:strCache>
            </c:strRef>
          </c:tx>
          <c:spPr>
            <a:solidFill>
              <a:schemeClr val="accent3"/>
            </a:solidFill>
            <a:ln>
              <a:noFill/>
            </a:ln>
            <a:effectLst/>
            <a:sp3d/>
          </c:spPr>
          <c:invertIfNegative val="0"/>
          <c:cat>
            <c:strRef>
              <c:f>Chart!$A$91:$A$103</c:f>
              <c:strCache>
                <c:ptCount val="13"/>
                <c:pt idx="0">
                  <c:v>Desk Chair</c:v>
                </c:pt>
                <c:pt idx="1">
                  <c:v>Desk Lamp</c:v>
                </c:pt>
                <c:pt idx="2">
                  <c:v>Docking Station</c:v>
                </c:pt>
                <c:pt idx="3">
                  <c:v>Headset</c:v>
                </c:pt>
                <c:pt idx="4">
                  <c:v>Keyboard</c:v>
                </c:pt>
                <c:pt idx="5">
                  <c:v>Laptop</c:v>
                </c:pt>
                <c:pt idx="6">
                  <c:v>Laptop Pro</c:v>
                </c:pt>
                <c:pt idx="7">
                  <c:v>Monitor 24in</c:v>
                </c:pt>
                <c:pt idx="8">
                  <c:v>Office Desk</c:v>
                </c:pt>
                <c:pt idx="9">
                  <c:v>Printer</c:v>
                </c:pt>
                <c:pt idx="10">
                  <c:v>Standing Desk</c:v>
                </c:pt>
                <c:pt idx="11">
                  <c:v>Wireless Mouse</c:v>
                </c:pt>
                <c:pt idx="12">
                  <c:v>Grand Total</c:v>
                </c:pt>
              </c:strCache>
            </c:strRef>
          </c:cat>
          <c:val>
            <c:numRef>
              <c:f>Chart!$D$91:$D$103</c:f>
              <c:numCache>
                <c:formatCode>0.00%</c:formatCode>
                <c:ptCount val="13"/>
                <c:pt idx="0">
                  <c:v>0.13333333333333333</c:v>
                </c:pt>
                <c:pt idx="1">
                  <c:v>0</c:v>
                </c:pt>
                <c:pt idx="2">
                  <c:v>0.15384615384615385</c:v>
                </c:pt>
                <c:pt idx="3">
                  <c:v>8.5714285714285715E-2</c:v>
                </c:pt>
                <c:pt idx="4">
                  <c:v>0.12</c:v>
                </c:pt>
                <c:pt idx="5">
                  <c:v>0.1</c:v>
                </c:pt>
                <c:pt idx="6">
                  <c:v>0</c:v>
                </c:pt>
                <c:pt idx="7">
                  <c:v>6.4516129032258063E-2</c:v>
                </c:pt>
                <c:pt idx="8">
                  <c:v>0.125</c:v>
                </c:pt>
                <c:pt idx="9">
                  <c:v>3.8461538461538464E-2</c:v>
                </c:pt>
                <c:pt idx="10">
                  <c:v>6.6666666666666666E-2</c:v>
                </c:pt>
                <c:pt idx="11">
                  <c:v>0.04</c:v>
                </c:pt>
                <c:pt idx="12">
                  <c:v>7.7142857142857138E-2</c:v>
                </c:pt>
              </c:numCache>
            </c:numRef>
          </c:val>
          <c:extLst>
            <c:ext xmlns:c16="http://schemas.microsoft.com/office/drawing/2014/chart" uri="{C3380CC4-5D6E-409C-BE32-E72D297353CC}">
              <c16:uniqueId val="{00000002-B963-47F8-90A6-1C8E17864B75}"/>
            </c:ext>
          </c:extLst>
        </c:ser>
        <c:dLbls>
          <c:showLegendKey val="0"/>
          <c:showVal val="0"/>
          <c:showCatName val="0"/>
          <c:showSerName val="0"/>
          <c:showPercent val="0"/>
          <c:showBubbleSize val="0"/>
        </c:dLbls>
        <c:gapWidth val="150"/>
        <c:shape val="box"/>
        <c:axId val="2040440511"/>
        <c:axId val="2040436671"/>
        <c:axId val="0"/>
        <c:extLst>
          <c:ext xmlns:c15="http://schemas.microsoft.com/office/drawing/2012/chart" uri="{02D57815-91ED-43cb-92C2-25804820EDAC}">
            <c15:filteredBarSeries>
              <c15:ser>
                <c:idx val="0"/>
                <c:order val="0"/>
                <c:tx>
                  <c:strRef>
                    <c:extLst>
                      <c:ext uri="{02D57815-91ED-43cb-92C2-25804820EDAC}">
                        <c15:formulaRef>
                          <c15:sqref>Chart!$B$90</c15:sqref>
                        </c15:formulaRef>
                      </c:ext>
                    </c:extLst>
                    <c:strCache>
                      <c:ptCount val="1"/>
                      <c:pt idx="0">
                        <c:v>Count of OrderID</c:v>
                      </c:pt>
                    </c:strCache>
                  </c:strRef>
                </c:tx>
                <c:spPr>
                  <a:solidFill>
                    <a:schemeClr val="accent1"/>
                  </a:solidFill>
                  <a:ln>
                    <a:noFill/>
                  </a:ln>
                  <a:effectLst/>
                  <a:sp3d/>
                </c:spPr>
                <c:invertIfNegative val="0"/>
                <c:cat>
                  <c:strRef>
                    <c:extLst>
                      <c:ext uri="{02D57815-91ED-43cb-92C2-25804820EDAC}">
                        <c15:formulaRef>
                          <c15:sqref>Chart!$A$91:$A$103</c15:sqref>
                        </c15:formulaRef>
                      </c:ext>
                    </c:extLst>
                    <c:strCache>
                      <c:ptCount val="13"/>
                      <c:pt idx="0">
                        <c:v>Desk Chair</c:v>
                      </c:pt>
                      <c:pt idx="1">
                        <c:v>Desk Lamp</c:v>
                      </c:pt>
                      <c:pt idx="2">
                        <c:v>Docking Station</c:v>
                      </c:pt>
                      <c:pt idx="3">
                        <c:v>Headset</c:v>
                      </c:pt>
                      <c:pt idx="4">
                        <c:v>Keyboard</c:v>
                      </c:pt>
                      <c:pt idx="5">
                        <c:v>Laptop</c:v>
                      </c:pt>
                      <c:pt idx="6">
                        <c:v>Laptop Pro</c:v>
                      </c:pt>
                      <c:pt idx="7">
                        <c:v>Monitor 24in</c:v>
                      </c:pt>
                      <c:pt idx="8">
                        <c:v>Office Desk</c:v>
                      </c:pt>
                      <c:pt idx="9">
                        <c:v>Printer</c:v>
                      </c:pt>
                      <c:pt idx="10">
                        <c:v>Standing Desk</c:v>
                      </c:pt>
                      <c:pt idx="11">
                        <c:v>Wireless Mouse</c:v>
                      </c:pt>
                      <c:pt idx="12">
                        <c:v>Grand Total</c:v>
                      </c:pt>
                    </c:strCache>
                  </c:strRef>
                </c:cat>
                <c:val>
                  <c:numRef>
                    <c:extLst>
                      <c:ext uri="{02D57815-91ED-43cb-92C2-25804820EDAC}">
                        <c15:formulaRef>
                          <c15:sqref>Chart!$B$91:$B$103</c15:sqref>
                        </c15:formulaRef>
                      </c:ext>
                    </c:extLst>
                    <c:numCache>
                      <c:formatCode>General</c:formatCode>
                      <c:ptCount val="13"/>
                      <c:pt idx="0">
                        <c:v>30</c:v>
                      </c:pt>
                      <c:pt idx="1">
                        <c:v>29</c:v>
                      </c:pt>
                      <c:pt idx="2">
                        <c:v>26</c:v>
                      </c:pt>
                      <c:pt idx="3">
                        <c:v>35</c:v>
                      </c:pt>
                      <c:pt idx="4">
                        <c:v>25</c:v>
                      </c:pt>
                      <c:pt idx="5">
                        <c:v>30</c:v>
                      </c:pt>
                      <c:pt idx="6">
                        <c:v>31</c:v>
                      </c:pt>
                      <c:pt idx="7">
                        <c:v>31</c:v>
                      </c:pt>
                      <c:pt idx="8">
                        <c:v>32</c:v>
                      </c:pt>
                      <c:pt idx="9">
                        <c:v>26</c:v>
                      </c:pt>
                      <c:pt idx="10">
                        <c:v>30</c:v>
                      </c:pt>
                      <c:pt idx="11">
                        <c:v>25</c:v>
                      </c:pt>
                      <c:pt idx="12">
                        <c:v>350</c:v>
                      </c:pt>
                    </c:numCache>
                  </c:numRef>
                </c:val>
                <c:extLst>
                  <c:ext xmlns:c16="http://schemas.microsoft.com/office/drawing/2014/chart" uri="{C3380CC4-5D6E-409C-BE32-E72D297353CC}">
                    <c16:uniqueId val="{00000000-B963-47F8-90A6-1C8E17864B7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Chart!$C$90</c15:sqref>
                        </c15:formulaRef>
                      </c:ext>
                    </c:extLst>
                    <c:strCache>
                      <c:ptCount val="1"/>
                      <c:pt idx="0">
                        <c:v>Sum of Returned_value</c:v>
                      </c:pt>
                    </c:strCache>
                  </c:strRef>
                </c:tx>
                <c:spPr>
                  <a:solidFill>
                    <a:schemeClr val="accent2"/>
                  </a:solidFill>
                  <a:ln>
                    <a:noFill/>
                  </a:ln>
                  <a:effectLst/>
                  <a:sp3d/>
                </c:spPr>
                <c:invertIfNegative val="0"/>
                <c:cat>
                  <c:strRef>
                    <c:extLst xmlns:c15="http://schemas.microsoft.com/office/drawing/2012/chart">
                      <c:ext xmlns:c15="http://schemas.microsoft.com/office/drawing/2012/chart" uri="{02D57815-91ED-43cb-92C2-25804820EDAC}">
                        <c15:formulaRef>
                          <c15:sqref>Chart!$A$91:$A$103</c15:sqref>
                        </c15:formulaRef>
                      </c:ext>
                    </c:extLst>
                    <c:strCache>
                      <c:ptCount val="13"/>
                      <c:pt idx="0">
                        <c:v>Desk Chair</c:v>
                      </c:pt>
                      <c:pt idx="1">
                        <c:v>Desk Lamp</c:v>
                      </c:pt>
                      <c:pt idx="2">
                        <c:v>Docking Station</c:v>
                      </c:pt>
                      <c:pt idx="3">
                        <c:v>Headset</c:v>
                      </c:pt>
                      <c:pt idx="4">
                        <c:v>Keyboard</c:v>
                      </c:pt>
                      <c:pt idx="5">
                        <c:v>Laptop</c:v>
                      </c:pt>
                      <c:pt idx="6">
                        <c:v>Laptop Pro</c:v>
                      </c:pt>
                      <c:pt idx="7">
                        <c:v>Monitor 24in</c:v>
                      </c:pt>
                      <c:pt idx="8">
                        <c:v>Office Desk</c:v>
                      </c:pt>
                      <c:pt idx="9">
                        <c:v>Printer</c:v>
                      </c:pt>
                      <c:pt idx="10">
                        <c:v>Standing Desk</c:v>
                      </c:pt>
                      <c:pt idx="11">
                        <c:v>Wireless Mouse</c:v>
                      </c:pt>
                      <c:pt idx="12">
                        <c:v>Grand Total</c:v>
                      </c:pt>
                    </c:strCache>
                  </c:strRef>
                </c:cat>
                <c:val>
                  <c:numRef>
                    <c:extLst xmlns:c15="http://schemas.microsoft.com/office/drawing/2012/chart">
                      <c:ext xmlns:c15="http://schemas.microsoft.com/office/drawing/2012/chart" uri="{02D57815-91ED-43cb-92C2-25804820EDAC}">
                        <c15:formulaRef>
                          <c15:sqref>Chart!$C$91:$C$103</c15:sqref>
                        </c15:formulaRef>
                      </c:ext>
                    </c:extLst>
                    <c:numCache>
                      <c:formatCode>General</c:formatCode>
                      <c:ptCount val="13"/>
                      <c:pt idx="0">
                        <c:v>4</c:v>
                      </c:pt>
                      <c:pt idx="1">
                        <c:v>0</c:v>
                      </c:pt>
                      <c:pt idx="2">
                        <c:v>4</c:v>
                      </c:pt>
                      <c:pt idx="3">
                        <c:v>3</c:v>
                      </c:pt>
                      <c:pt idx="4">
                        <c:v>3</c:v>
                      </c:pt>
                      <c:pt idx="5">
                        <c:v>3</c:v>
                      </c:pt>
                      <c:pt idx="6">
                        <c:v>0</c:v>
                      </c:pt>
                      <c:pt idx="7">
                        <c:v>2</c:v>
                      </c:pt>
                      <c:pt idx="8">
                        <c:v>4</c:v>
                      </c:pt>
                      <c:pt idx="9">
                        <c:v>1</c:v>
                      </c:pt>
                      <c:pt idx="10">
                        <c:v>2</c:v>
                      </c:pt>
                      <c:pt idx="11">
                        <c:v>1</c:v>
                      </c:pt>
                      <c:pt idx="12">
                        <c:v>27</c:v>
                      </c:pt>
                    </c:numCache>
                  </c:numRef>
                </c:val>
                <c:extLst xmlns:c15="http://schemas.microsoft.com/office/drawing/2012/chart">
                  <c:ext xmlns:c16="http://schemas.microsoft.com/office/drawing/2014/chart" uri="{C3380CC4-5D6E-409C-BE32-E72D297353CC}">
                    <c16:uniqueId val="{00000001-B963-47F8-90A6-1C8E17864B75}"/>
                  </c:ext>
                </c:extLst>
              </c15:ser>
            </c15:filteredBarSeries>
          </c:ext>
        </c:extLst>
      </c:bar3DChart>
      <c:catAx>
        <c:axId val="2040440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36671"/>
        <c:crosses val="autoZero"/>
        <c:auto val="1"/>
        <c:lblAlgn val="ctr"/>
        <c:lblOffset val="100"/>
        <c:noMultiLvlLbl val="0"/>
      </c:catAx>
      <c:valAx>
        <c:axId val="20404366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40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[Neetha_Homework.xlsx]Analysis!PivotTable13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mj-lt"/>
              </a:rPr>
              <a:t>NET</a:t>
            </a:r>
            <a:r>
              <a:rPr lang="en-US" baseline="0">
                <a:latin typeface="+mj-lt"/>
              </a:rPr>
              <a:t> 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Analysis!$B$4</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Analysis!$A$5:$A$11</c:f>
              <c:strCache>
                <c:ptCount val="6"/>
                <c:pt idx="0">
                  <c:v>Birmingham</c:v>
                </c:pt>
                <c:pt idx="1">
                  <c:v>London</c:v>
                </c:pt>
                <c:pt idx="2">
                  <c:v>Manchester</c:v>
                </c:pt>
                <c:pt idx="3">
                  <c:v>North West</c:v>
                </c:pt>
                <c:pt idx="4">
                  <c:v>Scotland</c:v>
                </c:pt>
                <c:pt idx="5">
                  <c:v>South East</c:v>
                </c:pt>
              </c:strCache>
            </c:strRef>
          </c:cat>
          <c:val>
            <c:numRef>
              <c:f>Analysis!$B$5:$B$11</c:f>
              <c:numCache>
                <c:formatCode>[$£-809]#,##0.00</c:formatCode>
                <c:ptCount val="6"/>
                <c:pt idx="0">
                  <c:v>134964.55849999998</c:v>
                </c:pt>
                <c:pt idx="1">
                  <c:v>353366.3625000001</c:v>
                </c:pt>
                <c:pt idx="2">
                  <c:v>162338.67500000002</c:v>
                </c:pt>
                <c:pt idx="3">
                  <c:v>164539.03750000003</c:v>
                </c:pt>
                <c:pt idx="4">
                  <c:v>118854.8495</c:v>
                </c:pt>
                <c:pt idx="5">
                  <c:v>119507.83200000002</c:v>
                </c:pt>
              </c:numCache>
            </c:numRef>
          </c:val>
          <c:extLst>
            <c:ext xmlns:c16="http://schemas.microsoft.com/office/drawing/2014/chart" uri="{C3380CC4-5D6E-409C-BE32-E72D297353CC}">
              <c16:uniqueId val="{00000000-BF10-4543-9115-FB5F4D8D7BFF}"/>
            </c:ext>
          </c:extLst>
        </c:ser>
        <c:dLbls>
          <c:showLegendKey val="0"/>
          <c:showVal val="0"/>
          <c:showCatName val="0"/>
          <c:showSerName val="0"/>
          <c:showPercent val="0"/>
          <c:showBubbleSize val="0"/>
        </c:dLbls>
        <c:gapWidth val="150"/>
        <c:overlap val="100"/>
        <c:axId val="1774801472"/>
        <c:axId val="1774801952"/>
      </c:barChart>
      <c:catAx>
        <c:axId val="1774801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4801952"/>
        <c:crosses val="autoZero"/>
        <c:auto val="1"/>
        <c:lblAlgn val="ctr"/>
        <c:lblOffset val="100"/>
        <c:noMultiLvlLbl val="0"/>
      </c:catAx>
      <c:valAx>
        <c:axId val="1774801952"/>
        <c:scaling>
          <c:orientation val="minMax"/>
        </c:scaling>
        <c:delete val="0"/>
        <c:axPos val="l"/>
        <c:majorGridlines>
          <c:spPr>
            <a:ln w="9525" cap="flat" cmpd="sng" algn="ctr">
              <a:solidFill>
                <a:schemeClr val="lt1">
                  <a:lumMod val="95000"/>
                  <a:alpha val="10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480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[Neetha_Homework.xlsx]Analysis!PivotTable14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a:t>Net</a:t>
            </a:r>
            <a:r>
              <a:rPr lang="en-IN" sz="1600" baseline="0"/>
              <a:t> Revenue and Unit by category</a:t>
            </a:r>
            <a:endParaRPr lang="en-IN"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Analysis!$B$15</c:f>
              <c:strCache>
                <c:ptCount val="1"/>
                <c:pt idx="0">
                  <c:v>Sum of Net_Revenue</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Analysis!$A$16:$A$18</c:f>
              <c:strCache>
                <c:ptCount val="2"/>
                <c:pt idx="0">
                  <c:v>Electronics</c:v>
                </c:pt>
                <c:pt idx="1">
                  <c:v>Furniture</c:v>
                </c:pt>
              </c:strCache>
            </c:strRef>
          </c:cat>
          <c:val>
            <c:numRef>
              <c:f>Analysis!$B$16:$B$18</c:f>
              <c:numCache>
                <c:formatCode>[$£-809]#,##0.00</c:formatCode>
                <c:ptCount val="2"/>
                <c:pt idx="0">
                  <c:v>725635.96099999989</c:v>
                </c:pt>
                <c:pt idx="1">
                  <c:v>327935.35400000011</c:v>
                </c:pt>
              </c:numCache>
            </c:numRef>
          </c:val>
          <c:smooth val="0"/>
          <c:extLst>
            <c:ext xmlns:c16="http://schemas.microsoft.com/office/drawing/2014/chart" uri="{C3380CC4-5D6E-409C-BE32-E72D297353CC}">
              <c16:uniqueId val="{00000000-09EC-47E1-8376-C4927F3263D8}"/>
            </c:ext>
          </c:extLst>
        </c:ser>
        <c:ser>
          <c:idx val="1"/>
          <c:order val="1"/>
          <c:tx>
            <c:strRef>
              <c:f>Analysis!$C$15</c:f>
              <c:strCache>
                <c:ptCount val="1"/>
                <c:pt idx="0">
                  <c:v>Sum of Units</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Analysis!$A$16:$A$18</c:f>
              <c:strCache>
                <c:ptCount val="2"/>
                <c:pt idx="0">
                  <c:v>Electronics</c:v>
                </c:pt>
                <c:pt idx="1">
                  <c:v>Furniture</c:v>
                </c:pt>
              </c:strCache>
            </c:strRef>
          </c:cat>
          <c:val>
            <c:numRef>
              <c:f>Analysis!$C$16:$C$18</c:f>
              <c:numCache>
                <c:formatCode>0</c:formatCode>
                <c:ptCount val="2"/>
                <c:pt idx="0">
                  <c:v>3086</c:v>
                </c:pt>
                <c:pt idx="1">
                  <c:v>1613</c:v>
                </c:pt>
              </c:numCache>
            </c:numRef>
          </c:val>
          <c:smooth val="0"/>
          <c:extLst>
            <c:ext xmlns:c16="http://schemas.microsoft.com/office/drawing/2014/chart" uri="{C3380CC4-5D6E-409C-BE32-E72D297353CC}">
              <c16:uniqueId val="{00000001-09EC-47E1-8376-C4927F3263D8}"/>
            </c:ext>
          </c:extLst>
        </c:ser>
        <c:dLbls>
          <c:showLegendKey val="0"/>
          <c:showVal val="0"/>
          <c:showCatName val="0"/>
          <c:showSerName val="0"/>
          <c:showPercent val="0"/>
          <c:showBubbleSize val="0"/>
        </c:dLbls>
        <c:smooth val="0"/>
        <c:axId val="1292828096"/>
        <c:axId val="1292829056"/>
      </c:lineChart>
      <c:catAx>
        <c:axId val="12928280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2829056"/>
        <c:crosses val="autoZero"/>
        <c:auto val="1"/>
        <c:lblAlgn val="ctr"/>
        <c:lblOffset val="100"/>
        <c:noMultiLvlLbl val="0"/>
      </c:catAx>
      <c:valAx>
        <c:axId val="1292829056"/>
        <c:scaling>
          <c:orientation val="minMax"/>
        </c:scaling>
        <c:delete val="0"/>
        <c:axPos val="l"/>
        <c:majorGridlines>
          <c:spPr>
            <a:ln w="9525" cap="flat" cmpd="sng" algn="ctr">
              <a:solidFill>
                <a:schemeClr val="lt1">
                  <a:lumMod val="95000"/>
                  <a:alpha val="10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282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[Neetha_Homework.xlsx]Analysis!PivotTable15</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0">
                <a:latin typeface="+mj-lt"/>
              </a:rPr>
              <a:t>Products</a:t>
            </a:r>
            <a:r>
              <a:rPr lang="en-US" sz="1800" b="0" baseline="0">
                <a:latin typeface="+mj-lt"/>
              </a:rPr>
              <a:t> by net revenue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solidFill>
            <a:round/>
          </a:ln>
          <a:effectLst/>
        </c:spPr>
        <c:marker>
          <c:spPr>
            <a:solidFill>
              <a:schemeClr val="accent4"/>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Analysis!$B$24</c:f>
              <c:strCache>
                <c:ptCount val="1"/>
                <c:pt idx="0">
                  <c:v>Total</c:v>
                </c:pt>
              </c:strCache>
            </c:strRef>
          </c:tx>
          <c:spPr>
            <a:solidFill>
              <a:schemeClr val="accent4">
                <a:alpha val="88000"/>
              </a:schemeClr>
            </a:solidFill>
            <a:ln>
              <a:solidFill>
                <a:schemeClr val="accent4">
                  <a:lumMod val="50000"/>
                </a:schemeClr>
              </a:solidFill>
            </a:ln>
            <a:effectLst/>
          </c:spPr>
          <c:invertIfNegative val="0"/>
          <c:dLbls>
            <c:delete val="1"/>
          </c:dLbls>
          <c:cat>
            <c:strRef>
              <c:f>Analysis!$A$25:$A$37</c:f>
              <c:strCache>
                <c:ptCount val="12"/>
                <c:pt idx="0">
                  <c:v>Desk Chair</c:v>
                </c:pt>
                <c:pt idx="1">
                  <c:v>Desk Lamp</c:v>
                </c:pt>
                <c:pt idx="2">
                  <c:v>Docking Station</c:v>
                </c:pt>
                <c:pt idx="3">
                  <c:v>Headset</c:v>
                </c:pt>
                <c:pt idx="4">
                  <c:v>Keyboard</c:v>
                </c:pt>
                <c:pt idx="5">
                  <c:v>Laptop</c:v>
                </c:pt>
                <c:pt idx="6">
                  <c:v>Laptop Pro</c:v>
                </c:pt>
                <c:pt idx="7">
                  <c:v>Monitor 24in</c:v>
                </c:pt>
                <c:pt idx="8">
                  <c:v>Office Desk</c:v>
                </c:pt>
                <c:pt idx="9">
                  <c:v>Printer</c:v>
                </c:pt>
                <c:pt idx="10">
                  <c:v>Standing Desk</c:v>
                </c:pt>
                <c:pt idx="11">
                  <c:v>Wireless Mouse</c:v>
                </c:pt>
              </c:strCache>
            </c:strRef>
          </c:cat>
          <c:val>
            <c:numRef>
              <c:f>Analysis!$B$25:$B$37</c:f>
              <c:numCache>
                <c:formatCode>[$£-809]#,##0.00</c:formatCode>
                <c:ptCount val="12"/>
                <c:pt idx="0">
                  <c:v>49189.26</c:v>
                </c:pt>
                <c:pt idx="1">
                  <c:v>12394.914999999999</c:v>
                </c:pt>
                <c:pt idx="2">
                  <c:v>43143.726999999999</c:v>
                </c:pt>
                <c:pt idx="3">
                  <c:v>30053.240999999995</c:v>
                </c:pt>
                <c:pt idx="4">
                  <c:v>11560.129500000001</c:v>
                </c:pt>
                <c:pt idx="5">
                  <c:v>150900.22050000002</c:v>
                </c:pt>
                <c:pt idx="6">
                  <c:v>345536.45899999997</c:v>
                </c:pt>
                <c:pt idx="7">
                  <c:v>72071.745999999999</c:v>
                </c:pt>
                <c:pt idx="8">
                  <c:v>109432.56</c:v>
                </c:pt>
                <c:pt idx="9">
                  <c:v>63990.205999999998</c:v>
                </c:pt>
                <c:pt idx="10">
                  <c:v>156918.61900000001</c:v>
                </c:pt>
                <c:pt idx="11">
                  <c:v>8380.232</c:v>
                </c:pt>
              </c:numCache>
            </c:numRef>
          </c:val>
          <c:extLst>
            <c:ext xmlns:c16="http://schemas.microsoft.com/office/drawing/2014/chart" uri="{C3380CC4-5D6E-409C-BE32-E72D297353CC}">
              <c16:uniqueId val="{0000000C-677D-439F-BDD3-B54BB14CCDC7}"/>
            </c:ext>
          </c:extLst>
        </c:ser>
        <c:dLbls>
          <c:showLegendKey val="0"/>
          <c:showVal val="1"/>
          <c:showCatName val="0"/>
          <c:showSerName val="0"/>
          <c:showPercent val="0"/>
          <c:showBubbleSize val="0"/>
        </c:dLbls>
        <c:gapWidth val="84"/>
        <c:axId val="1462822912"/>
        <c:axId val="1462824352"/>
      </c:barChart>
      <c:catAx>
        <c:axId val="146282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62824352"/>
        <c:crosses val="autoZero"/>
        <c:auto val="1"/>
        <c:lblAlgn val="ctr"/>
        <c:lblOffset val="100"/>
        <c:noMultiLvlLbl val="0"/>
      </c:catAx>
      <c:valAx>
        <c:axId val="1462824352"/>
        <c:scaling>
          <c:orientation val="minMax"/>
        </c:scaling>
        <c:delete val="1"/>
        <c:axPos val="b"/>
        <c:numFmt formatCode="[$£-809]#,##0.00" sourceLinked="1"/>
        <c:majorTickMark val="out"/>
        <c:minorTickMark val="none"/>
        <c:tickLblPos val="nextTo"/>
        <c:crossAx val="146282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[Neetha_Homework.xlsx]Analysis!PivotTable1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Net</a:t>
            </a:r>
            <a:r>
              <a:rPr lang="en-IN" baseline="0"/>
              <a:t> R</a:t>
            </a:r>
            <a:r>
              <a:rPr lang="en-IN"/>
              <a:t>evenue</a:t>
            </a:r>
            <a:r>
              <a:rPr lang="en-IN" baseline="0"/>
              <a:t> by SaleRep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Analysis!$B$61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E64-4F8D-92D6-3DED30AE2CB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E64-4F8D-92D6-3DED30AE2CB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E64-4F8D-92D6-3DED30AE2CB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E64-4F8D-92D6-3DED30AE2CB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E64-4F8D-92D6-3DED30AE2CB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E64-4F8D-92D6-3DED30AE2CB8}"/>
              </c:ext>
            </c:extLst>
          </c:dPt>
          <c:cat>
            <c:strRef>
              <c:f>Analysis!$A$62:$A$68</c:f>
              <c:strCache>
                <c:ptCount val="6"/>
                <c:pt idx="0">
                  <c:v>Ben</c:v>
                </c:pt>
                <c:pt idx="1">
                  <c:v>Hannah</c:v>
                </c:pt>
                <c:pt idx="2">
                  <c:v>James</c:v>
                </c:pt>
                <c:pt idx="3">
                  <c:v>Omar</c:v>
                </c:pt>
                <c:pt idx="4">
                  <c:v>Priya</c:v>
                </c:pt>
                <c:pt idx="5">
                  <c:v>Sarah</c:v>
                </c:pt>
              </c:strCache>
            </c:strRef>
          </c:cat>
          <c:val>
            <c:numRef>
              <c:f>Analysis!$B$62:$B$68</c:f>
              <c:numCache>
                <c:formatCode>[$£-809]#,##0.00</c:formatCode>
                <c:ptCount val="6"/>
                <c:pt idx="0">
                  <c:v>233469.73349999997</c:v>
                </c:pt>
                <c:pt idx="1">
                  <c:v>169626.90250000003</c:v>
                </c:pt>
                <c:pt idx="2">
                  <c:v>154496.571</c:v>
                </c:pt>
                <c:pt idx="3">
                  <c:v>161375.97400000002</c:v>
                </c:pt>
                <c:pt idx="4">
                  <c:v>189199.22149999996</c:v>
                </c:pt>
                <c:pt idx="5">
                  <c:v>145402.91250000001</c:v>
                </c:pt>
              </c:numCache>
            </c:numRef>
          </c:val>
          <c:extLst>
            <c:ext xmlns:c16="http://schemas.microsoft.com/office/drawing/2014/chart" uri="{C3380CC4-5D6E-409C-BE32-E72D297353CC}">
              <c16:uniqueId val="{0000000C-6E64-4F8D-92D6-3DED30AE2C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276225</xdr:colOff>
      <xdr:row>13</xdr:row>
      <xdr:rowOff>88900</xdr:rowOff>
    </xdr:from>
    <xdr:to>
      <xdr:col>3</xdr:col>
      <xdr:colOff>1127125</xdr:colOff>
      <xdr:row>28</xdr:row>
      <xdr:rowOff>69850</xdr:rowOff>
    </xdr:to>
    <xdr:graphicFrame macro="">
      <xdr:nvGraphicFramePr>
        <xdr:cNvPr id="6" name="Chart 5">
          <a:extLst>
            <a:ext uri="{FF2B5EF4-FFF2-40B4-BE49-F238E27FC236}">
              <a16:creationId xmlns:a16="http://schemas.microsoft.com/office/drawing/2014/main" id="{D850525F-88B1-CAD4-9325-0EB8C64E8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533400</xdr:colOff>
      <xdr:row>32</xdr:row>
      <xdr:rowOff>82550</xdr:rowOff>
    </xdr:from>
    <xdr:to>
      <xdr:col>3</xdr:col>
      <xdr:colOff>1003300</xdr:colOff>
      <xdr:row>47</xdr:row>
      <xdr:rowOff>63500</xdr:rowOff>
    </xdr:to>
    <xdr:graphicFrame macro="">
      <xdr:nvGraphicFramePr>
        <xdr:cNvPr id="8" name="Chart 7">
          <a:extLst>
            <a:ext uri="{FF2B5EF4-FFF2-40B4-BE49-F238E27FC236}">
              <a16:creationId xmlns:a16="http://schemas.microsoft.com/office/drawing/2014/main" id="{83F6790B-77FB-49DF-9222-5E5FAA16C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793750</xdr:colOff>
      <xdr:row>52</xdr:row>
      <xdr:rowOff>101600</xdr:rowOff>
    </xdr:from>
    <xdr:to>
      <xdr:col>3</xdr:col>
      <xdr:colOff>1181100</xdr:colOff>
      <xdr:row>65</xdr:row>
      <xdr:rowOff>165100</xdr:rowOff>
    </xdr:to>
    <xdr:graphicFrame macro="">
      <xdr:nvGraphicFramePr>
        <xdr:cNvPr id="9" name="Chart 8">
          <a:extLst>
            <a:ext uri="{FF2B5EF4-FFF2-40B4-BE49-F238E27FC236}">
              <a16:creationId xmlns:a16="http://schemas.microsoft.com/office/drawing/2014/main" id="{0E23FF18-DB8C-45F0-9056-ECBAA6B17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587375</xdr:colOff>
      <xdr:row>71</xdr:row>
      <xdr:rowOff>25400</xdr:rowOff>
    </xdr:from>
    <xdr:to>
      <xdr:col>3</xdr:col>
      <xdr:colOff>1057275</xdr:colOff>
      <xdr:row>86</xdr:row>
      <xdr:rowOff>6350</xdr:rowOff>
    </xdr:to>
    <xdr:graphicFrame macro="">
      <xdr:nvGraphicFramePr>
        <xdr:cNvPr id="13" name="Chart 12">
          <a:extLst>
            <a:ext uri="{FF2B5EF4-FFF2-40B4-BE49-F238E27FC236}">
              <a16:creationId xmlns:a16="http://schemas.microsoft.com/office/drawing/2014/main" id="{CDB24772-AEE7-F11F-AEDC-5EADE5D68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105833</xdr:colOff>
      <xdr:row>4</xdr:row>
      <xdr:rowOff>165366</xdr:rowOff>
    </xdr:from>
    <xdr:to>
      <xdr:col>11</xdr:col>
      <xdr:colOff>555625</xdr:colOff>
      <xdr:row>20</xdr:row>
      <xdr:rowOff>65618</xdr:rowOff>
    </xdr:to>
    <xdr:graphicFrame macro="">
      <xdr:nvGraphicFramePr>
        <xdr:cNvPr id="7" name="Chart 6">
          <a:extLst>
            <a:ext uri="{FF2B5EF4-FFF2-40B4-BE49-F238E27FC236}">
              <a16:creationId xmlns:a16="http://schemas.microsoft.com/office/drawing/2014/main" id="{6A2981EA-4BE9-4EC1-99DE-A5BE1583E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165101</xdr:rowOff>
    </xdr:from>
    <xdr:to>
      <xdr:col>3</xdr:col>
      <xdr:colOff>39687</xdr:colOff>
      <xdr:row>11</xdr:row>
      <xdr:rowOff>52917</xdr:rowOff>
    </xdr:to>
    <mc:AlternateContent xmlns:mc="http://schemas.openxmlformats.org/markup-compatibility/2006">
      <mc:Choice xmlns:a14="http://schemas.microsoft.com/office/drawing/2010/main" Requires="a14">
        <xdr:graphicFrame macro="">
          <xdr:nvGraphicFramePr>
            <xdr:cNvPr id="9" name="Months (Date)">
              <a:extLst>
                <a:ext uri="{FF2B5EF4-FFF2-40B4-BE49-F238E27FC236}">
                  <a16:creationId xmlns:a16="http://schemas.microsoft.com/office/drawing/2014/main" id="{B3C2E5E4-CFA5-5AC6-BB93-7F96FCDFF1F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0" y="895351"/>
              <a:ext cx="1873250" cy="1165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95250</xdr:colOff>
      <xdr:row>20</xdr:row>
      <xdr:rowOff>84667</xdr:rowOff>
    </xdr:from>
    <xdr:to>
      <xdr:col>11</xdr:col>
      <xdr:colOff>549011</xdr:colOff>
      <xdr:row>35</xdr:row>
      <xdr:rowOff>129117</xdr:rowOff>
    </xdr:to>
    <xdr:graphicFrame macro="">
      <xdr:nvGraphicFramePr>
        <xdr:cNvPr id="10" name="Chart 9">
          <a:extLst>
            <a:ext uri="{FF2B5EF4-FFF2-40B4-BE49-F238E27FC236}">
              <a16:creationId xmlns:a16="http://schemas.microsoft.com/office/drawing/2014/main" id="{0F4F61E1-D468-4488-8529-1DC79761E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52917</xdr:colOff>
      <xdr:row>4</xdr:row>
      <xdr:rowOff>165365</xdr:rowOff>
    </xdr:from>
    <xdr:to>
      <xdr:col>20</xdr:col>
      <xdr:colOff>330730</xdr:colOff>
      <xdr:row>20</xdr:row>
      <xdr:rowOff>72760</xdr:rowOff>
    </xdr:to>
    <xdr:graphicFrame macro="">
      <xdr:nvGraphicFramePr>
        <xdr:cNvPr id="11" name="Chart 10">
          <a:extLst>
            <a:ext uri="{FF2B5EF4-FFF2-40B4-BE49-F238E27FC236}">
              <a16:creationId xmlns:a16="http://schemas.microsoft.com/office/drawing/2014/main" id="{0689A560-509E-4990-87E1-4344D3D79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42334</xdr:colOff>
      <xdr:row>12</xdr:row>
      <xdr:rowOff>38100</xdr:rowOff>
    </xdr:from>
    <xdr:to>
      <xdr:col>3</xdr:col>
      <xdr:colOff>29634</xdr:colOff>
      <xdr:row>17</xdr:row>
      <xdr:rowOff>74084</xdr:rowOff>
    </xdr:to>
    <mc:AlternateContent xmlns:mc="http://schemas.openxmlformats.org/markup-compatibility/2006">
      <mc:Choice xmlns:a14="http://schemas.microsoft.com/office/drawing/2010/main" Requires="a14">
        <xdr:graphicFrame macro="">
          <xdr:nvGraphicFramePr>
            <xdr:cNvPr id="12" name="CustomerType">
              <a:extLst>
                <a:ext uri="{FF2B5EF4-FFF2-40B4-BE49-F238E27FC236}">
                  <a16:creationId xmlns:a16="http://schemas.microsoft.com/office/drawing/2014/main" id="{B55CC6F1-28C9-13CE-3C9F-D326E7C3A623}"/>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42334" y="2228850"/>
              <a:ext cx="1820863" cy="948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46302</xdr:colOff>
      <xdr:row>20</xdr:row>
      <xdr:rowOff>84667</xdr:rowOff>
    </xdr:from>
    <xdr:to>
      <xdr:col>20</xdr:col>
      <xdr:colOff>343959</xdr:colOff>
      <xdr:row>35</xdr:row>
      <xdr:rowOff>129117</xdr:rowOff>
    </xdr:to>
    <xdr:graphicFrame macro="">
      <xdr:nvGraphicFramePr>
        <xdr:cNvPr id="13" name="Chart 12">
          <a:extLst>
            <a:ext uri="{FF2B5EF4-FFF2-40B4-BE49-F238E27FC236}">
              <a16:creationId xmlns:a16="http://schemas.microsoft.com/office/drawing/2014/main" id="{92A29431-4C5A-4382-A9FA-31D917803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17</xdr:row>
      <xdr:rowOff>127001</xdr:rowOff>
    </xdr:from>
    <xdr:to>
      <xdr:col>3</xdr:col>
      <xdr:colOff>46301</xdr:colOff>
      <xdr:row>29</xdr:row>
      <xdr:rowOff>10584</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DA7AA381-4DBD-106D-E4E6-7947BFD9BE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230564"/>
              <a:ext cx="1879864" cy="2074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14288</xdr:colOff>
      <xdr:row>29</xdr:row>
      <xdr:rowOff>55563</xdr:rowOff>
    </xdr:from>
    <xdr:to>
      <xdr:col>3</xdr:col>
      <xdr:colOff>33073</xdr:colOff>
      <xdr:row>34</xdr:row>
      <xdr:rowOff>29105</xdr:rowOff>
    </xdr:to>
    <mc:AlternateContent xmlns:mc="http://schemas.openxmlformats.org/markup-compatibility/2006">
      <mc:Choice xmlns:a14="http://schemas.microsoft.com/office/drawing/2010/main" Requires="a14">
        <xdr:graphicFrame macro="">
          <xdr:nvGraphicFramePr>
            <xdr:cNvPr id="18" name="Returned">
              <a:extLst>
                <a:ext uri="{FF2B5EF4-FFF2-40B4-BE49-F238E27FC236}">
                  <a16:creationId xmlns:a16="http://schemas.microsoft.com/office/drawing/2014/main" id="{A4836861-B1B9-ADE9-3B1B-F4930DC2458F}"/>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dr:sp macro="" textlink="">
          <xdr:nvSpPr>
            <xdr:cNvPr id="0" name=""/>
            <xdr:cNvSpPr>
              <a:spLocks noTextEdit="1"/>
            </xdr:cNvSpPr>
          </xdr:nvSpPr>
          <xdr:spPr>
            <a:xfrm>
              <a:off x="14288" y="5349876"/>
              <a:ext cx="1852348" cy="886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THA HC" refreshedDate="46172.710999768518" backgroundQuery="1" createdVersion="8" refreshedVersion="8" minRefreshableVersion="3" recordCount="0" supportSubquery="1" supportAdvancedDrill="1" xr:uid="{42F9B1D7-4040-4410-80F6-BA77974903D1}">
  <cacheSource type="external" connectionId="1"/>
  <cacheFields count="3">
    <cacheField name="[Measures].[Count of OrderID 2]" caption="Count of OrderID 2" numFmtId="0" hierarchy="52" level="32767"/>
    <cacheField name="[Table13].[Product].[Product]" caption="Product" numFmtId="0" hierarchy="27" level="1">
      <sharedItems count="12">
        <s v="Desk Chair"/>
        <s v="Desk Lamp"/>
        <s v="Docking Station"/>
        <s v="Headset"/>
        <s v="Keyboard"/>
        <s v="Laptop"/>
        <s v="Laptop Pro"/>
        <s v="Monitor 24in"/>
        <s v="Office Desk"/>
        <s v="Printer"/>
        <s v="Standing Desk"/>
        <s v="Wireless Mouse"/>
      </sharedItems>
    </cacheField>
    <cacheField name="[Measures].[Sum of Returned_value]" caption="Sum of Returned_value" numFmtId="0" hierarchy="53" level="32767"/>
  </cacheFields>
  <cacheHierarchies count="54">
    <cacheHierarchy uniqueName="[Table1].[OrderID]" caption="OrderID" attribute="1" defaultMemberUniqueName="[Table1].[OrderID].[All]" allUniqueName="[Table1].[Order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ore]" caption="Store" attribute="1" defaultMemberUniqueName="[Table1].[Store].[All]" allUniqueName="[Table1].[Store].[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Rep]" caption="SalesRep" attribute="1" defaultMemberUniqueName="[Table1].[SalesRep].[All]" allUniqueName="[Table1].[SalesRep].[All]" dimensionUniqueName="[Table1]" displayFolder="" count="0" memberValueDatatype="130" unbalanced="0"/>
    <cacheHierarchy uniqueName="[Table1].[Units]" caption="Units" attribute="1" defaultMemberUniqueName="[Table1].[Units].[All]" allUniqueName="[Table1].[Units].[All]" dimensionUniqueName="[Table1]" displayFolder="" count="0" memberValueDatatype="20" unbalanced="0"/>
    <cacheHierarchy uniqueName="[Table1].[Units2]" caption="Units2" attribute="1" defaultMemberUniqueName="[Table1].[Units2].[All]" allUniqueName="[Table1].[Units2].[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130" unbalanced="0"/>
    <cacheHierarchy uniqueName="[Table1].[Revenue3]" caption="Revenue3" attribute="1" defaultMemberUniqueName="[Table1].[Revenue3].[All]" allUniqueName="[Table1].[Revenue3].[All]" dimensionUniqueName="[Table1]" displayFolder="" count="0" memberValueDatatype="130" unbalanced="0"/>
    <cacheHierarchy uniqueName="[Table1].[DiscountCode]" caption="DiscountCode" attribute="1" defaultMemberUniqueName="[Table1].[DiscountCode].[All]" allUniqueName="[Table1].[DiscountCode].[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130" unbalanced="0"/>
    <cacheHierarchy uniqueName="[Table1].[UnitPrice_Num]" caption="UnitPrice_Num" attribute="1" defaultMemberUniqueName="[Table1].[UnitPrice_Num].[All]" allUniqueName="[Table1].[UnitPrice_Num].[All]" dimensionUniqueName="[Table1]" displayFolder="" count="0" memberValueDatatype="5" unbalanced="0"/>
    <cacheHierarchy uniqueName="[Table1].[Column4]" caption="Column4" attribute="1" defaultMemberUniqueName="[Table1].[Column4].[All]" allUniqueName="[Table1].[Column4].[All]" dimensionUniqueName="[Table1]" displayFolder="" count="0" memberValueDatatype="130" unbalanced="0"/>
    <cacheHierarchy uniqueName="[Table1].[Revenue_Num]" caption="Revenue_Num" attribute="1" defaultMemberUniqueName="[Table1].[Revenue_Num].[All]" allUniqueName="[Table1].[Revenue_Num].[All]" dimensionUniqueName="[Table1]" displayFolder="" count="0" memberValueDatatype="5" unbalanced="0"/>
    <cacheHierarchy uniqueName="[Table1].[Discount Rate]" caption="Discount Rate" attribute="1" defaultMemberUniqueName="[Table1].[Discount Rate].[All]" allUniqueName="[Table1].[Discount Rate].[All]" dimensionUniqueName="[Table1]" displayFolder="" count="0" memberValueDatatype="5" unbalanced="0"/>
    <cacheHierarchy uniqueName="[Table1].[NetRevenue]" caption="NetRevenue" attribute="1" defaultMemberUniqueName="[Table1].[NetRevenue].[All]" allUniqueName="[Table1].[NetRevenue].[All]" dimensionUniqueName="[Table1]" displayFolder="" count="0" memberValueDatatype="5" unbalanced="0"/>
    <cacheHierarchy uniqueName="[Table1].[Data IssueFlag]" caption="Data IssueFlag" attribute="1" defaultMemberUniqueName="[Table1].[Data IssueFlag].[All]" allUniqueName="[Table1].[Data IssueFlag].[All]" dimensionUniqueName="[Table1]" displayFolder="" count="0" memberValueDatatype="130" unbalanced="0"/>
    <cacheHierarchy uniqueName="[Table1].[Column5]" caption="Column5" attribute="1" defaultMemberUniqueName="[Table1].[Column5].[All]" allUniqueName="[Table1].[Column5].[All]" dimensionUniqueName="[Table1]" displayFolder="" count="0" memberValueDatatype="20" unbalanced="0"/>
    <cacheHierarchy uniqueName="[Table1].[Returned Value]" caption="Returned Value" attribute="1" defaultMemberUniqueName="[Table1].[Returned Value].[All]" allUniqueName="[Table1].[Returned Value].[All]" dimensionUniqueName="[Table1]" displayFolder="" count="0" memberValueDatatype="20" unbalanced="0"/>
    <cacheHierarchy uniqueName="[Table13].[OrderID]" caption="OrderID" attribute="1" defaultMemberUniqueName="[Table13].[OrderID].[All]" allUniqueName="[Table13].[OrderID].[All]" dimensionUniqueName="[Table13]" displayFolder="" count="0" memberValueDatatype="20" unbalanced="0"/>
    <cacheHierarchy uniqueName="[Table13].[Date]" caption="Date" attribute="1" time="1" defaultMemberUniqueName="[Table13].[Date].[All]" allUniqueName="[Table13].[Date].[All]" dimensionUniqueName="[Table13]" displayFolder="" count="0" memberValueDatatype="7" unbalanced="0"/>
    <cacheHierarchy uniqueName="[Table13].[Region]" caption="Region" attribute="1" defaultMemberUniqueName="[Table13].[Region].[All]" allUniqueName="[Table13].[Region].[All]" dimensionUniqueName="[Table13]" displayFolder="" count="0" memberValueDatatype="130" unbalanced="0"/>
    <cacheHierarchy uniqueName="[Table13].[Store]" caption="Store" attribute="1" defaultMemberUniqueName="[Table13].[Store].[All]" allUniqueName="[Table13].[Store].[All]" dimensionUniqueName="[Table13]" displayFolder="" count="0" memberValueDatatype="130" unbalanced="0"/>
    <cacheHierarchy uniqueName="[Table13].[Product]" caption="Product" attribute="1" defaultMemberUniqueName="[Table13].[Product].[All]" allUniqueName="[Table13].[Product].[All]" dimensionUniqueName="[Table13]" displayFolder="" count="2" memberValueDatatype="130" unbalanced="0">
      <fieldsUsage count="2">
        <fieldUsage x="-1"/>
        <fieldUsage x="1"/>
      </fieldsUsage>
    </cacheHierarchy>
    <cacheHierarchy uniqueName="[Table13].[Category]" caption="Category" attribute="1" defaultMemberUniqueName="[Table13].[Category].[All]" allUniqueName="[Table13].[Category].[All]" dimensionUniqueName="[Table13]" displayFolder="" count="0" memberValueDatatype="130" unbalanced="0"/>
    <cacheHierarchy uniqueName="[Table13].[SalesRep]" caption="SalesRep" attribute="1" defaultMemberUniqueName="[Table13].[SalesRep].[All]" allUniqueName="[Table13].[SalesRep].[All]" dimensionUniqueName="[Table13]" displayFolder="" count="0" memberValueDatatype="130" unbalanced="0"/>
    <cacheHierarchy uniqueName="[Table13].[Units]" caption="Units" attribute="1" defaultMemberUniqueName="[Table13].[Units].[All]" allUniqueName="[Table13].[Units].[All]" dimensionUniqueName="[Table13]" displayFolder="" count="0" memberValueDatatype="20" unbalanced="0"/>
    <cacheHierarchy uniqueName="[Table13].[UnitPrice]" caption="UnitPrice" attribute="1" defaultMemberUniqueName="[Table13].[UnitPrice].[All]" allUniqueName="[Table13].[UnitPrice].[All]" dimensionUniqueName="[Table13]" displayFolder="" count="0" memberValueDatatype="5" unbalanced="0"/>
    <cacheHierarchy uniqueName="[Table13].[Revenue]" caption="Revenue" attribute="1" defaultMemberUniqueName="[Table13].[Revenue].[All]" allUniqueName="[Table13].[Revenue].[All]" dimensionUniqueName="[Table13]" displayFolder="" count="0" memberValueDatatype="130" unbalanced="0"/>
    <cacheHierarchy uniqueName="[Table13].[Revenue3]" caption="Revenue3" attribute="1" defaultMemberUniqueName="[Table13].[Revenue3].[All]" allUniqueName="[Table13].[Revenue3].[All]" dimensionUniqueName="[Table13]" displayFolder="" count="0" memberValueDatatype="130" unbalanced="0"/>
    <cacheHierarchy uniqueName="[Table13].[DiscountCode]" caption="DiscountCode" attribute="1" defaultMemberUniqueName="[Table13].[DiscountCode].[All]" allUniqueName="[Table13].[DiscountCode].[All]" dimensionUniqueName="[Table13]" displayFolder="" count="0" memberValueDatatype="130" unbalanced="0"/>
    <cacheHierarchy uniqueName="[Table13].[CustomerType]" caption="CustomerType" attribute="1" defaultMemberUniqueName="[Table13].[CustomerType].[All]" allUniqueName="[Table13].[CustomerType].[All]" dimensionUniqueName="[Table13]" displayFolder="" count="0" memberValueDatatype="130" unbalanced="0"/>
    <cacheHierarchy uniqueName="[Table13].[Returned]" caption="Returned" attribute="1" defaultMemberUniqueName="[Table13].[Returned].[All]" allUniqueName="[Table13].[Returned].[All]" dimensionUniqueName="[Table13]" displayFolder="" count="0" memberValueDatatype="130" unbalanced="0"/>
    <cacheHierarchy uniqueName="[Table13].[UnitPrice_Num]" caption="UnitPrice_Num" attribute="1" defaultMemberUniqueName="[Table13].[UnitPrice_Num].[All]" allUniqueName="[Table13].[UnitPrice_Num].[All]" dimensionUniqueName="[Table13]" displayFolder="" count="0" memberValueDatatype="5" unbalanced="0"/>
    <cacheHierarchy uniqueName="[Table13].[Revenue_Num]" caption="Revenue_Num" attribute="1" defaultMemberUniqueName="[Table13].[Revenue_Num].[All]" allUniqueName="[Table13].[Revenue_Num].[All]" dimensionUniqueName="[Table13]" displayFolder="" count="0" memberValueDatatype="5" unbalanced="0"/>
    <cacheHierarchy uniqueName="[Table13].[Discount Rate]" caption="Discount Rate" attribute="1" defaultMemberUniqueName="[Table13].[Discount Rate].[All]" allUniqueName="[Table13].[Discount Rate].[All]" dimensionUniqueName="[Table13]" displayFolder="" count="0" memberValueDatatype="5" unbalanced="0"/>
    <cacheHierarchy uniqueName="[Table13].[Net_Revenue]" caption="Net_Revenue" attribute="1" defaultMemberUniqueName="[Table13].[Net_Revenue].[All]" allUniqueName="[Table13].[Net_Revenue].[All]" dimensionUniqueName="[Table13]" displayFolder="" count="0" memberValueDatatype="5" unbalanced="0"/>
    <cacheHierarchy uniqueName="[Table13].[Data IssueFlag]" caption="Data IssueFlag" attribute="1" defaultMemberUniqueName="[Table13].[Data IssueFlag].[All]" allUniqueName="[Table13].[Data IssueFlag].[All]" dimensionUniqueName="[Table13]" displayFolder="" count="0" memberValueDatatype="130" unbalanced="0"/>
    <cacheHierarchy uniqueName="[Table13].[Returned_value]" caption="Returned_value" attribute="1" defaultMemberUniqueName="[Table13].[Returned_value].[All]" allUniqueName="[Table13].[Returned_value].[All]" dimensionUniqueName="[Table13]" displayFolder="" count="0" memberValueDatatype="20" unbalanced="0"/>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Returned Value]" caption="Sum of Returned Value" measure="1" displayFolder="" measureGroup="Table1"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tRevenue]" caption="Sum of NetRevenue" measure="1" displayFolder="" measureGroup="Table1" count="0" hidden="1">
      <extLst>
        <ext xmlns:x15="http://schemas.microsoft.com/office/spreadsheetml/2010/11/main" uri="{B97F6D7D-B522-45F9-BDA1-12C45D357490}">
          <x15:cacheHierarchy aggregatedColumn="19"/>
        </ext>
      </extLst>
    </cacheHierarchy>
    <cacheHierarchy uniqueName="[Measures].[Sum of Column5]" caption="Sum of Column5" measure="1" displayFolder="" measureGroup="Table1" count="0" hidden="1">
      <extLst>
        <ext xmlns:x15="http://schemas.microsoft.com/office/spreadsheetml/2010/11/main" uri="{B97F6D7D-B522-45F9-BDA1-12C45D357490}">
          <x15:cacheHierarchy aggregatedColumn="21"/>
        </ext>
      </extLst>
    </cacheHierarchy>
    <cacheHierarchy uniqueName="[Measures].[Sum of Discount Rate]" caption="Sum of Discount Rate" measure="1" displayFolder="" measureGroup="Table1"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Table13"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Returned_value]" caption="Sum of Returned_value" measure="1" displayFolder="" measureGroup="Table13" count="0" oneField="1" hidden="1">
      <fieldsUsage count="1">
        <fieldUsage x="2"/>
      </fieldsUsage>
      <extLst>
        <ext xmlns:x15="http://schemas.microsoft.com/office/spreadsheetml/2010/11/main" uri="{B97F6D7D-B522-45F9-BDA1-12C45D357490}">
          <x15:cacheHierarchy aggregatedColumn="42"/>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THA HC" refreshedDate="46172.740131828701" createdVersion="8" refreshedVersion="8" minRefreshableVersion="3" recordCount="350" xr:uid="{39402973-03FB-44BD-A190-DE28984969C4}">
  <cacheSource type="worksheet">
    <worksheetSource name="Table13"/>
  </cacheSource>
  <cacheFields count="22">
    <cacheField name="OrderID" numFmtId="0">
      <sharedItems containsSemiMixedTypes="0" containsString="0" containsNumber="1" containsInteger="1" minValue="20000" maxValue="20349"/>
    </cacheField>
    <cacheField name="Date" numFmtId="14">
      <sharedItems containsSemiMixedTypes="0" containsNonDate="0" containsDate="1" containsString="0" minDate="2024-01-01T00:00:00" maxDate="2024-04-01T00:00:00" count="88">
        <d v="2024-01-21T00:00:00"/>
        <d v="2024-01-30T00:00:00"/>
        <d v="2024-02-04T00:00:00"/>
        <d v="2024-03-17T00:00:00"/>
        <d v="2024-03-08T00:00:00"/>
        <d v="2024-03-29T00:00:00"/>
        <d v="2024-03-01T00:00:00"/>
        <d v="2024-01-02T00:00:00"/>
        <d v="2024-02-10T00:00:00"/>
        <d v="2024-02-08T00:00:00"/>
        <d v="2024-01-18T00:00:00"/>
        <d v="2024-02-12T00:00:00"/>
        <d v="2024-01-23T00:00:00"/>
        <d v="2024-02-21T00:00:00"/>
        <d v="2024-01-31T00:00:00"/>
        <d v="2024-03-12T00:00:00"/>
        <d v="2024-02-23T00:00:00"/>
        <d v="2024-03-03T00:00:00"/>
        <d v="2024-02-11T00:00:00"/>
        <d v="2024-02-14T00:00:00"/>
        <d v="2024-01-16T00:00:00"/>
        <d v="2024-02-28T00:00:00"/>
        <d v="2024-02-26T00:00:00"/>
        <d v="2024-02-22T00:00:00"/>
        <d v="2024-03-06T00:00:00"/>
        <d v="2024-02-20T00:00:00"/>
        <d v="2024-02-25T00:00:00"/>
        <d v="2024-02-24T00:00:00"/>
        <d v="2024-02-15T00:00:00"/>
        <d v="2024-02-07T00:00:00"/>
        <d v="2024-03-23T00:00:00"/>
        <d v="2024-02-05T00:00:00"/>
        <d v="2024-03-11T00:00:00"/>
        <d v="2024-03-05T00:00:00"/>
        <d v="2024-03-19T00:00:00"/>
        <d v="2024-01-11T00:00:00"/>
        <d v="2024-01-01T00:00:00"/>
        <d v="2024-02-16T00:00:00"/>
        <d v="2024-03-21T00:00:00"/>
        <d v="2024-01-06T00:00:00"/>
        <d v="2024-03-26T00:00:00"/>
        <d v="2024-02-02T00:00:00"/>
        <d v="2024-01-13T00:00:00"/>
        <d v="2024-03-15T00:00:00"/>
        <d v="2024-01-07T00:00:00"/>
        <d v="2024-01-10T00:00:00"/>
        <d v="2024-03-09T00:00:00"/>
        <d v="2024-01-08T00:00:00"/>
        <d v="2024-03-07T00:00:00"/>
        <d v="2024-03-02T00:00:00"/>
        <d v="2024-01-12T00:00:00"/>
        <d v="2024-01-29T00:00:00"/>
        <d v="2024-03-14T00:00:00"/>
        <d v="2024-03-13T00:00:00"/>
        <d v="2024-03-30T00:00:00"/>
        <d v="2024-02-18T00:00:00"/>
        <d v="2024-03-27T00:00:00"/>
        <d v="2024-02-06T00:00:00"/>
        <d v="2024-03-22T00:00:00"/>
        <d v="2024-01-26T00:00:00"/>
        <d v="2024-02-13T00:00:00"/>
        <d v="2024-03-04T00:00:00"/>
        <d v="2024-01-20T00:00:00"/>
        <d v="2024-02-27T00:00:00"/>
        <d v="2024-01-19T00:00:00"/>
        <d v="2024-02-29T00:00:00"/>
        <d v="2024-01-27T00:00:00"/>
        <d v="2024-03-16T00:00:00"/>
        <d v="2024-01-15T00:00:00"/>
        <d v="2024-03-18T00:00:00"/>
        <d v="2024-03-20T00:00:00"/>
        <d v="2024-02-19T00:00:00"/>
        <d v="2024-02-01T00:00:00"/>
        <d v="2024-01-24T00:00:00"/>
        <d v="2024-01-28T00:00:00"/>
        <d v="2024-02-03T00:00:00"/>
        <d v="2024-01-25T00:00:00"/>
        <d v="2024-03-31T00:00:00"/>
        <d v="2024-02-17T00:00:00"/>
        <d v="2024-01-22T00:00:00"/>
        <d v="2024-03-10T00:00:00"/>
        <d v="2024-01-04T00:00:00"/>
        <d v="2024-02-09T00:00:00"/>
        <d v="2024-03-25T00:00:00"/>
        <d v="2024-01-17T00:00:00"/>
        <d v="2024-01-09T00:00:00"/>
        <d v="2024-01-05T00:00:00"/>
        <d v="2024-01-03T00:00:00"/>
      </sharedItems>
      <fieldGroup par="21"/>
    </cacheField>
    <cacheField name="Region" numFmtId="0">
      <sharedItems count="6">
        <s v="London"/>
        <s v="Manchester"/>
        <s v="Scotland"/>
        <s v="North West"/>
        <s v="South East"/>
        <s v="Birmingham"/>
      </sharedItems>
    </cacheField>
    <cacheField name="Store" numFmtId="0">
      <sharedItems count="15">
        <s v="Westfield"/>
        <s v="Canary Wharf"/>
        <s v="Piccadilly"/>
        <s v="Glasgow"/>
        <s v="Leeds Trinity"/>
        <s v="Brighton"/>
        <s v="Trafford"/>
        <s v="Oxford St"/>
        <s v="Bullring"/>
        <s v="New Street"/>
        <s v="Edinburgh"/>
        <s v="Arndale"/>
        <s v="Reading"/>
        <s v="Stratford"/>
        <s v="Liverpool One"/>
      </sharedItems>
    </cacheField>
    <cacheField name="Product" numFmtId="0">
      <sharedItems count="12">
        <s v="Keyboard"/>
        <s v="Desk Chair"/>
        <s v="Standing Desk"/>
        <s v="Monitor 24in"/>
        <s v="Laptop"/>
        <s v="Laptop Pro"/>
        <s v="Desk Lamp"/>
        <s v="Headset"/>
        <s v="Docking Station"/>
        <s v="Office Desk"/>
        <s v="Printer"/>
        <s v="Wireless Mouse"/>
      </sharedItems>
    </cacheField>
    <cacheField name="Category" numFmtId="0">
      <sharedItems count="2">
        <s v="Electronics"/>
        <s v="Furniture"/>
      </sharedItems>
    </cacheField>
    <cacheField name="SalesRep" numFmtId="0">
      <sharedItems count="6">
        <s v="Ben"/>
        <s v="Hannah"/>
        <s v="Priya"/>
        <s v="Sarah"/>
        <s v="James"/>
        <s v="Omar"/>
      </sharedItems>
    </cacheField>
    <cacheField name="Units" numFmtId="1">
      <sharedItems containsSemiMixedTypes="0" containsString="0" containsNumber="1" containsInteger="1" minValue="1" maxValue="25"/>
    </cacheField>
    <cacheField name="UnitPrice" numFmtId="164">
      <sharedItems containsSemiMixedTypes="0" containsString="0" containsNumber="1" minValue="22.59" maxValue="916.81"/>
    </cacheField>
    <cacheField name="Revenue" numFmtId="164">
      <sharedItems containsMixedTypes="1" containsNumber="1" minValue="53" maxValue="17012.28"/>
    </cacheField>
    <cacheField name="Revenue3" numFmtId="2">
      <sharedItems containsBlank="1"/>
    </cacheField>
    <cacheField name="DiscountCode" numFmtId="0">
      <sharedItems/>
    </cacheField>
    <cacheField name="CustomerType" numFmtId="0">
      <sharedItems count="2">
        <s v="Retail"/>
        <s v="Business"/>
      </sharedItems>
    </cacheField>
    <cacheField name="Returned" numFmtId="0">
      <sharedItems count="2">
        <s v="N"/>
        <s v="Y"/>
      </sharedItems>
    </cacheField>
    <cacheField name="UnitPrice_Num" numFmtId="0">
      <sharedItems containsSemiMixedTypes="0" containsString="0" containsNumber="1" minValue="22.59" maxValue="916.81"/>
    </cacheField>
    <cacheField name="Revenue_Num" numFmtId="2">
      <sharedItems containsSemiMixedTypes="0" containsString="0" containsNumber="1" minValue="52.668000000000006" maxValue="17012.22"/>
    </cacheField>
    <cacheField name="Discount Rate" numFmtId="2">
      <sharedItems containsSemiMixedTypes="0" containsString="0" containsNumber="1" minValue="0" maxValue="0.2"/>
    </cacheField>
    <cacheField name="Net_Revenue" numFmtId="164">
      <sharedItems containsSemiMixedTypes="0" containsString="0" containsNumber="1" minValue="52.668000000000006" maxValue="17012.22"/>
    </cacheField>
    <cacheField name="Data IssueFlag" numFmtId="0">
      <sharedItems/>
    </cacheField>
    <cacheField name="Returned_value" numFmtId="0">
      <sharedItems containsSemiMixedTypes="0" containsString="0" containsNumber="1" containsInteger="1" minValue="0" maxValue="1"/>
    </cacheField>
    <cacheField name="Days (Date)" numFmtId="0" databaseField="0">
      <fieldGroup base="1">
        <rangePr groupBy="days" startDate="2024-01-01T00:00:00" endDate="2024-04-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24"/>
        </groupItems>
      </fieldGroup>
    </cacheField>
    <cacheField name="Months (Date)" numFmtId="0" databaseField="0">
      <fieldGroup base="1">
        <rangePr groupBy="months" startDate="2024-01-01T00:00:00" endDate="2024-04-01T00:00:00"/>
        <groupItems count="14">
          <s v="&lt;01-01-2024"/>
          <s v="Jan"/>
          <s v="Feb"/>
          <s v="Mar"/>
          <s v="Apr"/>
          <s v="May"/>
          <s v="Jun"/>
          <s v="Jul"/>
          <s v="Aug"/>
          <s v="Sep"/>
          <s v="Oct"/>
          <s v="Nov"/>
          <s v="Dec"/>
          <s v="&gt;01-04-2024"/>
        </groupItems>
      </fieldGroup>
    </cacheField>
  </cacheFields>
  <extLst>
    <ext xmlns:x14="http://schemas.microsoft.com/office/spreadsheetml/2009/9/main" uri="{725AE2AE-9491-48be-B2B4-4EB974FC3084}">
      <x14:pivotCacheDefinition pivotCacheId="1151914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n v="20000"/>
    <x v="0"/>
    <x v="0"/>
    <x v="0"/>
    <x v="0"/>
    <x v="0"/>
    <x v="0"/>
    <n v="18"/>
    <n v="31.72"/>
    <n v="571"/>
    <s v="£571.00"/>
    <s v=""/>
    <x v="0"/>
    <x v="0"/>
    <n v="31.72"/>
    <n v="570.96"/>
    <n v="0"/>
    <n v="570.96"/>
    <s v="False"/>
    <n v="0"/>
  </r>
  <r>
    <n v="20001"/>
    <x v="1"/>
    <x v="0"/>
    <x v="1"/>
    <x v="1"/>
    <x v="1"/>
    <x v="1"/>
    <n v="15"/>
    <n v="131.35"/>
    <n v="1970.32"/>
    <s v="£1,970.32"/>
    <s v=""/>
    <x v="0"/>
    <x v="0"/>
    <n v="131.35"/>
    <n v="1970.25"/>
    <n v="0"/>
    <n v="1970.25"/>
    <s v="False"/>
    <n v="0"/>
  </r>
  <r>
    <n v="20002"/>
    <x v="2"/>
    <x v="1"/>
    <x v="2"/>
    <x v="2"/>
    <x v="1"/>
    <x v="2"/>
    <n v="6"/>
    <n v="398.56"/>
    <n v="2391.38"/>
    <s v="2,391.38"/>
    <s v=""/>
    <x v="0"/>
    <x v="0"/>
    <n v="398.56"/>
    <n v="2391.36"/>
    <n v="0"/>
    <n v="2391.36"/>
    <s v="False"/>
    <n v="0"/>
  </r>
  <r>
    <n v="20003"/>
    <x v="3"/>
    <x v="2"/>
    <x v="3"/>
    <x v="3"/>
    <x v="0"/>
    <x v="3"/>
    <n v="18"/>
    <n v="209.88"/>
    <n v="3211.17"/>
    <s v="£3,211.17"/>
    <s v="WELCOME15"/>
    <x v="0"/>
    <x v="0"/>
    <n v="209.88"/>
    <n v="3211.1640000000002"/>
    <n v="0.15"/>
    <n v="3211.1640000000002"/>
    <s v="False"/>
    <n v="0"/>
  </r>
  <r>
    <n v="20004"/>
    <x v="4"/>
    <x v="3"/>
    <x v="4"/>
    <x v="4"/>
    <x v="0"/>
    <x v="2"/>
    <n v="1"/>
    <n v="483.83"/>
    <n v="483.83"/>
    <s v="483.83"/>
    <s v=""/>
    <x v="0"/>
    <x v="0"/>
    <n v="483.83"/>
    <n v="483.83"/>
    <n v="0"/>
    <n v="483.83"/>
    <s v="False"/>
    <n v="0"/>
  </r>
  <r>
    <n v="20005"/>
    <x v="5"/>
    <x v="4"/>
    <x v="5"/>
    <x v="5"/>
    <x v="0"/>
    <x v="4"/>
    <n v="18"/>
    <n v="904"/>
    <n v="16267.03"/>
    <s v="£16,267.03"/>
    <s v=""/>
    <x v="1"/>
    <x v="0"/>
    <n v="904"/>
    <n v="16272"/>
    <n v="0"/>
    <n v="16272"/>
    <s v="False"/>
    <n v="0"/>
  </r>
  <r>
    <n v="20006"/>
    <x v="6"/>
    <x v="4"/>
    <x v="5"/>
    <x v="0"/>
    <x v="0"/>
    <x v="2"/>
    <n v="19"/>
    <n v="35.619999999999997"/>
    <n v="609.09"/>
    <s v="609.09"/>
    <s v="SAVE10"/>
    <x v="0"/>
    <x v="0"/>
    <n v="35.619999999999997"/>
    <n v="609.10199999999998"/>
    <n v="0.1"/>
    <n v="609.10199999999998"/>
    <s v="False"/>
    <n v="0"/>
  </r>
  <r>
    <n v="20007"/>
    <x v="7"/>
    <x v="1"/>
    <x v="6"/>
    <x v="6"/>
    <x v="1"/>
    <x v="3"/>
    <n v="13"/>
    <n v="37.1"/>
    <n v="434.12"/>
    <s v="£434.12"/>
    <s v="SAVE10"/>
    <x v="1"/>
    <x v="0"/>
    <n v="37.1"/>
    <n v="434.07"/>
    <n v="0.1"/>
    <n v="434.07"/>
    <s v="False"/>
    <n v="0"/>
  </r>
  <r>
    <n v="20008"/>
    <x v="8"/>
    <x v="0"/>
    <x v="7"/>
    <x v="3"/>
    <x v="0"/>
    <x v="5"/>
    <n v="9"/>
    <n v="211.41"/>
    <n v="1902.65"/>
    <s v="£1,902.65"/>
    <s v=""/>
    <x v="0"/>
    <x v="0"/>
    <n v="211.41"/>
    <n v="1902.69"/>
    <n v="0"/>
    <n v="1902.69"/>
    <s v="False"/>
    <n v="0"/>
  </r>
  <r>
    <n v="20009"/>
    <x v="9"/>
    <x v="0"/>
    <x v="7"/>
    <x v="3"/>
    <x v="0"/>
    <x v="2"/>
    <n v="21"/>
    <n v="189.85"/>
    <n v="3986.82"/>
    <s v="£3,986.82"/>
    <s v=""/>
    <x v="1"/>
    <x v="0"/>
    <n v="189.85"/>
    <n v="3986.85"/>
    <n v="0"/>
    <n v="3986.85"/>
    <s v="False"/>
    <n v="0"/>
  </r>
  <r>
    <n v="20010"/>
    <x v="10"/>
    <x v="4"/>
    <x v="5"/>
    <x v="7"/>
    <x v="0"/>
    <x v="0"/>
    <n v="12"/>
    <n v="69.930000000000007"/>
    <n v="839.17"/>
    <s v="£839.17"/>
    <s v=""/>
    <x v="0"/>
    <x v="0"/>
    <n v="69.930000000000007"/>
    <n v="839.16000000000008"/>
    <n v="0"/>
    <n v="839.16000000000008"/>
    <s v="False"/>
    <n v="0"/>
  </r>
  <r>
    <n v="20011"/>
    <x v="5"/>
    <x v="5"/>
    <x v="8"/>
    <x v="2"/>
    <x v="1"/>
    <x v="2"/>
    <n v="16"/>
    <n v="420"/>
    <n v="6172.05"/>
    <s v="£6,172.05"/>
    <s v=""/>
    <x v="1"/>
    <x v="0"/>
    <n v="420"/>
    <n v="6720"/>
    <n v="0"/>
    <n v="6720"/>
    <s v="False"/>
    <n v="0"/>
  </r>
  <r>
    <n v="20012"/>
    <x v="11"/>
    <x v="0"/>
    <x v="1"/>
    <x v="5"/>
    <x v="0"/>
    <x v="4"/>
    <n v="8"/>
    <n v="825.13"/>
    <n v="6601"/>
    <s v="£ 6,601"/>
    <s v=""/>
    <x v="0"/>
    <x v="0"/>
    <n v="825.13"/>
    <n v="6601.04"/>
    <n v="0"/>
    <n v="6601.04"/>
    <s v="False"/>
    <n v="0"/>
  </r>
  <r>
    <n v="20013"/>
    <x v="12"/>
    <x v="3"/>
    <x v="4"/>
    <x v="5"/>
    <x v="0"/>
    <x v="0"/>
    <n v="15"/>
    <n v="802.9"/>
    <n v="10839"/>
    <s v="£ 10,839"/>
    <s v="SAVE10"/>
    <x v="1"/>
    <x v="0"/>
    <n v="802.9"/>
    <n v="10839.15"/>
    <n v="0.1"/>
    <n v="10839.15"/>
    <s v="False"/>
    <n v="0"/>
  </r>
  <r>
    <n v="20014"/>
    <x v="13"/>
    <x v="1"/>
    <x v="6"/>
    <x v="8"/>
    <x v="0"/>
    <x v="0"/>
    <n v="20"/>
    <n v="145"/>
    <n v="2759.41"/>
    <s v="2,759.41"/>
    <s v="CLEAR5"/>
    <x v="1"/>
    <x v="0"/>
    <n v="145"/>
    <n v="2755"/>
    <n v="0.05"/>
    <n v="2755"/>
    <s v="False"/>
    <n v="0"/>
  </r>
  <r>
    <n v="20015"/>
    <x v="14"/>
    <x v="3"/>
    <x v="4"/>
    <x v="9"/>
    <x v="1"/>
    <x v="0"/>
    <n v="21"/>
    <n v="285.97000000000003"/>
    <n v="6005.43"/>
    <s v="£6,005.43"/>
    <s v=""/>
    <x v="1"/>
    <x v="0"/>
    <n v="285.97000000000003"/>
    <n v="6005.3700000000008"/>
    <n v="0"/>
    <n v="6005.3700000000008"/>
    <s v="False"/>
    <n v="0"/>
  </r>
  <r>
    <n v="20016"/>
    <x v="15"/>
    <x v="1"/>
    <x v="6"/>
    <x v="9"/>
    <x v="1"/>
    <x v="3"/>
    <n v="13"/>
    <n v="280"/>
    <n v="3453.62"/>
    <s v="3,453.62"/>
    <s v=""/>
    <x v="0"/>
    <x v="0"/>
    <n v="280"/>
    <n v="3640"/>
    <n v="0"/>
    <n v="3640"/>
    <s v="False"/>
    <n v="0"/>
  </r>
  <r>
    <n v="20017"/>
    <x v="11"/>
    <x v="5"/>
    <x v="9"/>
    <x v="8"/>
    <x v="0"/>
    <x v="1"/>
    <n v="14"/>
    <n v="141"/>
    <n v="1583.01"/>
    <s v="£1,583.01"/>
    <s v="BULK20"/>
    <x v="0"/>
    <x v="0"/>
    <n v="141"/>
    <n v="1579.2"/>
    <n v="0.2"/>
    <n v="1579.2"/>
    <s v="False"/>
    <n v="0"/>
  </r>
  <r>
    <n v="20018"/>
    <x v="16"/>
    <x v="0"/>
    <x v="7"/>
    <x v="9"/>
    <x v="1"/>
    <x v="5"/>
    <n v="16"/>
    <n v="280"/>
    <n v="4380.97"/>
    <s v="£4,380.97"/>
    <s v=""/>
    <x v="1"/>
    <x v="0"/>
    <n v="280"/>
    <n v="4480"/>
    <n v="0"/>
    <n v="4480"/>
    <s v="False"/>
    <n v="0"/>
  </r>
  <r>
    <n v="20019"/>
    <x v="16"/>
    <x v="2"/>
    <x v="10"/>
    <x v="6"/>
    <x v="1"/>
    <x v="2"/>
    <n v="18"/>
    <n v="35.64"/>
    <n v="641.58000000000004"/>
    <s v="£641.58"/>
    <s v=""/>
    <x v="1"/>
    <x v="0"/>
    <n v="35.64"/>
    <n v="641.52"/>
    <n v="0"/>
    <n v="641.52"/>
    <s v="False"/>
    <n v="0"/>
  </r>
  <r>
    <n v="20020"/>
    <x v="0"/>
    <x v="4"/>
    <x v="5"/>
    <x v="2"/>
    <x v="1"/>
    <x v="2"/>
    <n v="8"/>
    <n v="430.19"/>
    <n v="3441.54"/>
    <s v="3,441.54"/>
    <s v=""/>
    <x v="1"/>
    <x v="0"/>
    <n v="430.19"/>
    <n v="3441.52"/>
    <n v="0"/>
    <n v="3441.52"/>
    <s v="False"/>
    <n v="0"/>
  </r>
  <r>
    <n v="20021"/>
    <x v="17"/>
    <x v="4"/>
    <x v="5"/>
    <x v="4"/>
    <x v="0"/>
    <x v="5"/>
    <n v="12"/>
    <n v="481.53"/>
    <n v="5778.32"/>
    <s v="5,778.32"/>
    <s v=""/>
    <x v="1"/>
    <x v="0"/>
    <n v="481.53"/>
    <n v="5778.36"/>
    <n v="0"/>
    <n v="5778.36"/>
    <s v="False"/>
    <n v="0"/>
  </r>
  <r>
    <n v="20022"/>
    <x v="18"/>
    <x v="0"/>
    <x v="1"/>
    <x v="8"/>
    <x v="0"/>
    <x v="5"/>
    <n v="16"/>
    <n v="149.12"/>
    <n v="2385.9299999999998"/>
    <s v="£2,385.93"/>
    <s v=""/>
    <x v="0"/>
    <x v="0"/>
    <n v="149.12"/>
    <n v="2385.92"/>
    <n v="0"/>
    <n v="2385.92"/>
    <s v="False"/>
    <n v="0"/>
  </r>
  <r>
    <n v="20023"/>
    <x v="19"/>
    <x v="5"/>
    <x v="8"/>
    <x v="7"/>
    <x v="0"/>
    <x v="4"/>
    <n v="14"/>
    <n v="68.36"/>
    <n v="956.99"/>
    <s v="£956.99"/>
    <s v=""/>
    <x v="0"/>
    <x v="0"/>
    <n v="68.36"/>
    <n v="957.04"/>
    <n v="0"/>
    <n v="957.04"/>
    <s v="False"/>
    <n v="0"/>
  </r>
  <r>
    <n v="20024"/>
    <x v="7"/>
    <x v="1"/>
    <x v="11"/>
    <x v="10"/>
    <x v="0"/>
    <x v="1"/>
    <n v="18"/>
    <n v="186.85"/>
    <n v="3363.23"/>
    <s v="£3,363.23"/>
    <s v=""/>
    <x v="0"/>
    <x v="0"/>
    <n v="186.85"/>
    <n v="3363.2999999999997"/>
    <n v="0"/>
    <n v="3363.2999999999997"/>
    <s v="False"/>
    <n v="0"/>
  </r>
  <r>
    <n v="20025"/>
    <x v="20"/>
    <x v="0"/>
    <x v="7"/>
    <x v="5"/>
    <x v="0"/>
    <x v="0"/>
    <n v="15"/>
    <n v="808"/>
    <n v="12118.82"/>
    <s v="£12,118.82"/>
    <s v=""/>
    <x v="1"/>
    <x v="0"/>
    <n v="808"/>
    <n v="12120"/>
    <n v="0"/>
    <n v="12120"/>
    <s v="False"/>
    <n v="0"/>
  </r>
  <r>
    <n v="20026"/>
    <x v="21"/>
    <x v="1"/>
    <x v="6"/>
    <x v="8"/>
    <x v="0"/>
    <x v="5"/>
    <n v="20"/>
    <n v="152.53"/>
    <n v="2745.59"/>
    <s v="2,745.59"/>
    <s v="SAVE10"/>
    <x v="1"/>
    <x v="1"/>
    <n v="152.53"/>
    <n v="2745.54"/>
    <n v="0.1"/>
    <n v="2745.54"/>
    <s v="False"/>
    <n v="1"/>
  </r>
  <r>
    <n v="20027"/>
    <x v="22"/>
    <x v="2"/>
    <x v="3"/>
    <x v="4"/>
    <x v="0"/>
    <x v="3"/>
    <n v="9"/>
    <n v="411.43"/>
    <n v="3702.84"/>
    <s v="£3,702.84"/>
    <s v=""/>
    <x v="0"/>
    <x v="0"/>
    <n v="411.43"/>
    <n v="3702.87"/>
    <n v="0"/>
    <n v="3702.87"/>
    <s v="False"/>
    <n v="0"/>
  </r>
  <r>
    <n v="20028"/>
    <x v="23"/>
    <x v="0"/>
    <x v="7"/>
    <x v="2"/>
    <x v="1"/>
    <x v="3"/>
    <n v="6"/>
    <n v="433"/>
    <n v="2596.36"/>
    <s v="£2,596.36"/>
    <s v=""/>
    <x v="0"/>
    <x v="0"/>
    <n v="433"/>
    <n v="2598"/>
    <n v="0"/>
    <n v="2598"/>
    <s v="False"/>
    <n v="0"/>
  </r>
  <r>
    <n v="20029"/>
    <x v="22"/>
    <x v="1"/>
    <x v="6"/>
    <x v="1"/>
    <x v="1"/>
    <x v="5"/>
    <n v="17"/>
    <n v="108"/>
    <n v="1836.47"/>
    <s v="1,836.47"/>
    <s v=""/>
    <x v="0"/>
    <x v="0"/>
    <n v="108"/>
    <n v="1836"/>
    <n v="0"/>
    <n v="1836"/>
    <s v="False"/>
    <n v="0"/>
  </r>
  <r>
    <n v="20030"/>
    <x v="24"/>
    <x v="0"/>
    <x v="7"/>
    <x v="7"/>
    <x v="0"/>
    <x v="5"/>
    <n v="4"/>
    <n v="60.03"/>
    <n v="240"/>
    <s v="£ 240"/>
    <s v=""/>
    <x v="0"/>
    <x v="0"/>
    <n v="60.03"/>
    <n v="240.12"/>
    <n v="0"/>
    <n v="240.12"/>
    <s v="False"/>
    <n v="0"/>
  </r>
  <r>
    <n v="20031"/>
    <x v="23"/>
    <x v="4"/>
    <x v="5"/>
    <x v="11"/>
    <x v="0"/>
    <x v="5"/>
    <n v="19"/>
    <n v="24.95"/>
    <n v="474"/>
    <s v="£ 474"/>
    <s v=""/>
    <x v="0"/>
    <x v="0"/>
    <n v="24.95"/>
    <n v="474.05"/>
    <n v="0"/>
    <n v="474.05"/>
    <s v="False"/>
    <n v="0"/>
  </r>
  <r>
    <n v="20032"/>
    <x v="25"/>
    <x v="4"/>
    <x v="12"/>
    <x v="5"/>
    <x v="0"/>
    <x v="0"/>
    <n v="11"/>
    <n v="913.61"/>
    <n v="10050"/>
    <s v="£ 10,050"/>
    <s v=""/>
    <x v="0"/>
    <x v="0"/>
    <n v="913.61"/>
    <n v="10049.710000000001"/>
    <n v="0"/>
    <n v="10049.710000000001"/>
    <s v="False"/>
    <n v="0"/>
  </r>
  <r>
    <n v="20033"/>
    <x v="26"/>
    <x v="1"/>
    <x v="2"/>
    <x v="5"/>
    <x v="0"/>
    <x v="0"/>
    <n v="10"/>
    <n v="891.95"/>
    <n v="8919.5"/>
    <s v="£8,919.50"/>
    <s v=""/>
    <x v="0"/>
    <x v="0"/>
    <n v="891.95"/>
    <n v="8919.5"/>
    <n v="0"/>
    <n v="8919.5"/>
    <s v="False"/>
    <n v="0"/>
  </r>
  <r>
    <n v="20034"/>
    <x v="27"/>
    <x v="0"/>
    <x v="13"/>
    <x v="8"/>
    <x v="0"/>
    <x v="1"/>
    <n v="19"/>
    <n v="143.86000000000001"/>
    <n v="2733.37"/>
    <s v="£2,733.37"/>
    <s v=""/>
    <x v="1"/>
    <x v="0"/>
    <n v="143.86000000000001"/>
    <n v="2733.34"/>
    <n v="0"/>
    <n v="2733.34"/>
    <s v="False"/>
    <n v="0"/>
  </r>
  <r>
    <n v="20035"/>
    <x v="28"/>
    <x v="0"/>
    <x v="1"/>
    <x v="8"/>
    <x v="0"/>
    <x v="1"/>
    <n v="1"/>
    <n v="144.43"/>
    <n v="144.43"/>
    <s v="144.43"/>
    <s v=""/>
    <x v="0"/>
    <x v="1"/>
    <n v="144.43"/>
    <n v="144.43"/>
    <n v="0"/>
    <n v="144.43"/>
    <s v="False"/>
    <n v="1"/>
  </r>
  <r>
    <n v="20036"/>
    <x v="29"/>
    <x v="2"/>
    <x v="10"/>
    <x v="2"/>
    <x v="1"/>
    <x v="1"/>
    <n v="15"/>
    <n v="439.52"/>
    <n v="5933.5"/>
    <s v="£5,933.50"/>
    <s v="SAVE10"/>
    <x v="1"/>
    <x v="0"/>
    <n v="439.52"/>
    <n v="5933.5199999999995"/>
    <n v="0.1"/>
    <n v="5933.5199999999995"/>
    <s v="False"/>
    <n v="0"/>
  </r>
  <r>
    <n v="20037"/>
    <x v="30"/>
    <x v="0"/>
    <x v="1"/>
    <x v="4"/>
    <x v="0"/>
    <x v="4"/>
    <n v="18"/>
    <n v="465.55"/>
    <n v="8379.98"/>
    <s v="£8,379.98"/>
    <s v=""/>
    <x v="1"/>
    <x v="0"/>
    <n v="465.55"/>
    <n v="8379.9"/>
    <n v="0"/>
    <n v="8379.9"/>
    <s v="False"/>
    <n v="0"/>
  </r>
  <r>
    <n v="20038"/>
    <x v="31"/>
    <x v="0"/>
    <x v="7"/>
    <x v="11"/>
    <x v="0"/>
    <x v="0"/>
    <n v="8"/>
    <n v="23.18"/>
    <n v="185.43"/>
    <s v="185.43"/>
    <s v=""/>
    <x v="0"/>
    <x v="0"/>
    <n v="23.18"/>
    <n v="185.44"/>
    <n v="0"/>
    <n v="185.44"/>
    <s v="False"/>
    <n v="0"/>
  </r>
  <r>
    <n v="20039"/>
    <x v="32"/>
    <x v="1"/>
    <x v="2"/>
    <x v="2"/>
    <x v="1"/>
    <x v="3"/>
    <n v="7"/>
    <n v="457.72"/>
    <n v="3204.02"/>
    <s v="3,204.02"/>
    <s v=""/>
    <x v="0"/>
    <x v="0"/>
    <n v="457.72"/>
    <n v="3204.04"/>
    <n v="0"/>
    <n v="3204.04"/>
    <s v="False"/>
    <n v="0"/>
  </r>
  <r>
    <n v="20040"/>
    <x v="33"/>
    <x v="3"/>
    <x v="4"/>
    <x v="3"/>
    <x v="0"/>
    <x v="3"/>
    <n v="6"/>
    <n v="185.27"/>
    <n v="1000.47"/>
    <s v="1,000.47"/>
    <s v="SAVE10"/>
    <x v="1"/>
    <x v="0"/>
    <n v="185.27"/>
    <n v="1000.4580000000001"/>
    <n v="0.1"/>
    <n v="1000.4580000000001"/>
    <s v="False"/>
    <n v="0"/>
  </r>
  <r>
    <n v="20041"/>
    <x v="29"/>
    <x v="5"/>
    <x v="8"/>
    <x v="5"/>
    <x v="0"/>
    <x v="2"/>
    <n v="14"/>
    <n v="848"/>
    <n v="11876.84"/>
    <s v="11,876.84"/>
    <s v=""/>
    <x v="0"/>
    <x v="0"/>
    <n v="848"/>
    <n v="11872"/>
    <n v="0"/>
    <n v="11872"/>
    <s v="False"/>
    <n v="0"/>
  </r>
  <r>
    <n v="20042"/>
    <x v="15"/>
    <x v="2"/>
    <x v="3"/>
    <x v="6"/>
    <x v="1"/>
    <x v="3"/>
    <n v="15"/>
    <n v="33.69"/>
    <n v="505.32"/>
    <s v="505.32"/>
    <s v=""/>
    <x v="1"/>
    <x v="0"/>
    <n v="33.69"/>
    <n v="505.34999999999997"/>
    <n v="0"/>
    <n v="505.34999999999997"/>
    <s v="False"/>
    <n v="0"/>
  </r>
  <r>
    <n v="20043"/>
    <x v="34"/>
    <x v="1"/>
    <x v="2"/>
    <x v="5"/>
    <x v="0"/>
    <x v="2"/>
    <n v="19"/>
    <n v="801.17"/>
    <n v="15222.15"/>
    <s v="£15,222.15"/>
    <s v=""/>
    <x v="1"/>
    <x v="0"/>
    <n v="801.17"/>
    <n v="15222.23"/>
    <n v="0"/>
    <n v="15222.23"/>
    <s v="False"/>
    <n v="0"/>
  </r>
  <r>
    <n v="20044"/>
    <x v="35"/>
    <x v="0"/>
    <x v="1"/>
    <x v="1"/>
    <x v="1"/>
    <x v="5"/>
    <n v="19"/>
    <n v="109.67"/>
    <n v="2083.73"/>
    <s v="£2,083.73"/>
    <s v=""/>
    <x v="0"/>
    <x v="0"/>
    <n v="109.67"/>
    <n v="2083.73"/>
    <n v="0"/>
    <n v="2083.73"/>
    <s v="False"/>
    <n v="0"/>
  </r>
  <r>
    <n v="20045"/>
    <x v="36"/>
    <x v="1"/>
    <x v="6"/>
    <x v="8"/>
    <x v="0"/>
    <x v="4"/>
    <n v="17"/>
    <n v="129.1"/>
    <n v="1755.83"/>
    <s v="£1,755.83"/>
    <s v="BULK20"/>
    <x v="1"/>
    <x v="1"/>
    <n v="129.1"/>
    <n v="1755.76"/>
    <n v="0.2"/>
    <n v="1755.76"/>
    <s v="False"/>
    <n v="1"/>
  </r>
  <r>
    <n v="20046"/>
    <x v="37"/>
    <x v="5"/>
    <x v="8"/>
    <x v="9"/>
    <x v="1"/>
    <x v="5"/>
    <n v="1"/>
    <n v="256.36"/>
    <n v="256.36"/>
    <s v="£256.36"/>
    <s v=""/>
    <x v="0"/>
    <x v="0"/>
    <n v="256.36"/>
    <n v="256.36"/>
    <n v="0"/>
    <n v="256.36"/>
    <s v="False"/>
    <n v="0"/>
  </r>
  <r>
    <n v="20047"/>
    <x v="38"/>
    <x v="0"/>
    <x v="1"/>
    <x v="0"/>
    <x v="0"/>
    <x v="2"/>
    <n v="17"/>
    <n v="35.21"/>
    <n v="508.85"/>
    <s v="£508.85"/>
    <s v="WELCOME15"/>
    <x v="0"/>
    <x v="0"/>
    <n v="35.21"/>
    <n v="508.78450000000004"/>
    <n v="0.15"/>
    <n v="508.78450000000004"/>
    <s v="False"/>
    <n v="0"/>
  </r>
  <r>
    <n v="20048"/>
    <x v="39"/>
    <x v="4"/>
    <x v="12"/>
    <x v="3"/>
    <x v="0"/>
    <x v="3"/>
    <n v="10"/>
    <n v="203.66"/>
    <n v="1832.91"/>
    <s v="1,832.91"/>
    <s v="SAVE10"/>
    <x v="0"/>
    <x v="0"/>
    <n v="203.66"/>
    <n v="1832.94"/>
    <n v="0.1"/>
    <n v="1832.94"/>
    <s v="False"/>
    <n v="0"/>
  </r>
  <r>
    <n v="20049"/>
    <x v="38"/>
    <x v="5"/>
    <x v="9"/>
    <x v="4"/>
    <x v="0"/>
    <x v="2"/>
    <n v="3"/>
    <n v="420.53"/>
    <n v="1262"/>
    <s v="£ 1,262"/>
    <s v=""/>
    <x v="0"/>
    <x v="0"/>
    <n v="420.53"/>
    <n v="1261.5899999999999"/>
    <n v="0"/>
    <n v="1261.5899999999999"/>
    <s v="False"/>
    <n v="0"/>
  </r>
  <r>
    <n v="20050"/>
    <x v="40"/>
    <x v="3"/>
    <x v="4"/>
    <x v="4"/>
    <x v="0"/>
    <x v="0"/>
    <n v="23"/>
    <n v="467.86"/>
    <n v="8608.68"/>
    <s v="8,608.68"/>
    <s v="BULK20"/>
    <x v="1"/>
    <x v="0"/>
    <n v="467.86"/>
    <n v="8608.6240000000016"/>
    <n v="0.2"/>
    <n v="8608.6240000000016"/>
    <s v="True"/>
    <n v="0"/>
  </r>
  <r>
    <n v="20051"/>
    <x v="22"/>
    <x v="1"/>
    <x v="11"/>
    <x v="0"/>
    <x v="0"/>
    <x v="5"/>
    <n v="10"/>
    <n v="32.21"/>
    <n v="289.87"/>
    <s v="£289.87"/>
    <s v="SAVE10"/>
    <x v="0"/>
    <x v="0"/>
    <n v="32.21"/>
    <n v="289.89000000000004"/>
    <n v="0.1"/>
    <n v="289.89000000000004"/>
    <s v="False"/>
    <n v="0"/>
  </r>
  <r>
    <n v="20052"/>
    <x v="41"/>
    <x v="0"/>
    <x v="0"/>
    <x v="7"/>
    <x v="0"/>
    <x v="1"/>
    <n v="16"/>
    <n v="61.02"/>
    <n v="976.36"/>
    <s v="£976.36"/>
    <s v=""/>
    <x v="0"/>
    <x v="0"/>
    <n v="61.02"/>
    <n v="976.32"/>
    <n v="0"/>
    <n v="976.32"/>
    <s v="False"/>
    <n v="0"/>
  </r>
  <r>
    <n v="20053"/>
    <x v="42"/>
    <x v="3"/>
    <x v="4"/>
    <x v="4"/>
    <x v="0"/>
    <x v="5"/>
    <n v="17"/>
    <n v="413"/>
    <n v="7025.32"/>
    <s v="£7,025.32"/>
    <s v=""/>
    <x v="1"/>
    <x v="0"/>
    <n v="413"/>
    <n v="7021"/>
    <n v="0"/>
    <n v="7021"/>
    <s v="False"/>
    <n v="0"/>
  </r>
  <r>
    <n v="20054"/>
    <x v="24"/>
    <x v="2"/>
    <x v="3"/>
    <x v="6"/>
    <x v="1"/>
    <x v="1"/>
    <n v="7"/>
    <n v="35.340000000000003"/>
    <n v="197.91"/>
    <s v="£197.91"/>
    <s v="BULK20 "/>
    <x v="1"/>
    <x v="0"/>
    <n v="35.340000000000003"/>
    <n v="197.90400000000002"/>
    <n v="0.2"/>
    <n v="197.90400000000002"/>
    <s v="False"/>
    <n v="0"/>
  </r>
  <r>
    <n v="20055"/>
    <x v="43"/>
    <x v="5"/>
    <x v="8"/>
    <x v="7"/>
    <x v="0"/>
    <x v="5"/>
    <n v="17"/>
    <n v="65"/>
    <n v="1370.54"/>
    <s v="£1,370.54"/>
    <s v=""/>
    <x v="0"/>
    <x v="1"/>
    <n v="65"/>
    <n v="1105"/>
    <n v="0"/>
    <n v="1105"/>
    <s v="False"/>
    <n v="1"/>
  </r>
  <r>
    <n v="20056"/>
    <x v="44"/>
    <x v="3"/>
    <x v="4"/>
    <x v="2"/>
    <x v="1"/>
    <x v="1"/>
    <n v="15"/>
    <n v="381.68"/>
    <n v="5725.2"/>
    <s v="£5,725.20"/>
    <s v=""/>
    <x v="1"/>
    <x v="0"/>
    <n v="381.68"/>
    <n v="5725.2"/>
    <n v="0"/>
    <n v="5725.2"/>
    <s v="False"/>
    <n v="0"/>
  </r>
  <r>
    <n v="20057"/>
    <x v="22"/>
    <x v="1"/>
    <x v="6"/>
    <x v="3"/>
    <x v="0"/>
    <x v="3"/>
    <n v="17"/>
    <n v="209.08"/>
    <n v="3554.42"/>
    <s v="£3,554.42"/>
    <s v=""/>
    <x v="1"/>
    <x v="0"/>
    <n v="209.08"/>
    <n v="3554.36"/>
    <n v="0"/>
    <n v="3554.36"/>
    <s v="False"/>
    <n v="0"/>
  </r>
  <r>
    <n v="20058"/>
    <x v="45"/>
    <x v="1"/>
    <x v="11"/>
    <x v="2"/>
    <x v="1"/>
    <x v="1"/>
    <n v="6"/>
    <n v="389.99"/>
    <n v="2105.96"/>
    <s v="£2,105.96"/>
    <s v="SAVE10"/>
    <x v="0"/>
    <x v="0"/>
    <n v="389.99"/>
    <n v="2105.9459999999999"/>
    <n v="0.1"/>
    <n v="2105.9459999999999"/>
    <s v="False"/>
    <n v="0"/>
  </r>
  <r>
    <n v="20059"/>
    <x v="8"/>
    <x v="0"/>
    <x v="13"/>
    <x v="7"/>
    <x v="0"/>
    <x v="4"/>
    <n v="9"/>
    <n v="67.650000000000006"/>
    <n v="518"/>
    <s v="£ 518"/>
    <s v="WELCOME15"/>
    <x v="0"/>
    <x v="0"/>
    <n v="67.650000000000006"/>
    <n v="517.52250000000004"/>
    <n v="0.15"/>
    <n v="517.52250000000004"/>
    <s v="False"/>
    <n v="0"/>
  </r>
  <r>
    <n v="20060"/>
    <x v="23"/>
    <x v="0"/>
    <x v="1"/>
    <x v="7"/>
    <x v="0"/>
    <x v="3"/>
    <n v="18"/>
    <n v="58.84"/>
    <n v="1059.1500000000001"/>
    <s v="£1,059.15"/>
    <s v=""/>
    <x v="1"/>
    <x v="0"/>
    <n v="58.84"/>
    <n v="1059.1200000000001"/>
    <n v="0"/>
    <n v="1059.1200000000001"/>
    <s v="False"/>
    <n v="0"/>
  </r>
  <r>
    <n v="20061"/>
    <x v="46"/>
    <x v="5"/>
    <x v="8"/>
    <x v="3"/>
    <x v="0"/>
    <x v="3"/>
    <n v="2"/>
    <n v="200.72"/>
    <n v="361.3"/>
    <s v="£361.30"/>
    <s v="SAVE10"/>
    <x v="0"/>
    <x v="0"/>
    <n v="200.72"/>
    <n v="361.29599999999999"/>
    <n v="0.1"/>
    <n v="361.29599999999999"/>
    <s v="False"/>
    <n v="0"/>
  </r>
  <r>
    <n v="20062"/>
    <x v="47"/>
    <x v="2"/>
    <x v="10"/>
    <x v="5"/>
    <x v="0"/>
    <x v="2"/>
    <n v="19"/>
    <n v="895.38"/>
    <n v="17012.28"/>
    <s v="£17,012.28"/>
    <s v=""/>
    <x v="1"/>
    <x v="0"/>
    <n v="895.38"/>
    <n v="17012.22"/>
    <n v="0"/>
    <n v="17012.22"/>
    <s v="False"/>
    <n v="0"/>
  </r>
  <r>
    <n v="20063"/>
    <x v="8"/>
    <x v="1"/>
    <x v="2"/>
    <x v="1"/>
    <x v="1"/>
    <x v="5"/>
    <n v="12"/>
    <n v="110.55"/>
    <n v="1193.92"/>
    <s v="£1,193.92"/>
    <s v="SAVE10"/>
    <x v="0"/>
    <x v="0"/>
    <n v="110.55"/>
    <n v="1193.94"/>
    <n v="0.1"/>
    <n v="1193.94"/>
    <s v="False"/>
    <n v="0"/>
  </r>
  <r>
    <n v="20064"/>
    <x v="37"/>
    <x v="1"/>
    <x v="11"/>
    <x v="9"/>
    <x v="1"/>
    <x v="3"/>
    <n v="7"/>
    <n v="254.72"/>
    <n v="1783.07"/>
    <s v="1,783.07"/>
    <s v=""/>
    <x v="0"/>
    <x v="0"/>
    <n v="254.72"/>
    <n v="1783.04"/>
    <n v="0"/>
    <n v="1783.04"/>
    <s v="False"/>
    <n v="0"/>
  </r>
  <r>
    <n v="20065"/>
    <x v="48"/>
    <x v="0"/>
    <x v="13"/>
    <x v="7"/>
    <x v="0"/>
    <x v="1"/>
    <n v="20"/>
    <n v="63.62"/>
    <n v="1272.4100000000001"/>
    <s v="£1,272.41"/>
    <s v=""/>
    <x v="1"/>
    <x v="0"/>
    <n v="63.62"/>
    <n v="1272.3999999999999"/>
    <n v="0"/>
    <n v="1272.3999999999999"/>
    <s v="False"/>
    <n v="0"/>
  </r>
  <r>
    <n v="20066"/>
    <x v="43"/>
    <x v="1"/>
    <x v="2"/>
    <x v="10"/>
    <x v="0"/>
    <x v="0"/>
    <n v="17"/>
    <n v="181.16"/>
    <n v="2464"/>
    <s v="£ 2,464"/>
    <s v="BULK20"/>
    <x v="0"/>
    <x v="0"/>
    <n v="181.16"/>
    <n v="2463.7759999999998"/>
    <n v="0.2"/>
    <n v="2463.7759999999998"/>
    <s v="False"/>
    <n v="0"/>
  </r>
  <r>
    <n v="20067"/>
    <x v="49"/>
    <x v="5"/>
    <x v="8"/>
    <x v="2"/>
    <x v="1"/>
    <x v="0"/>
    <n v="17"/>
    <n v="404.35"/>
    <n v="6873.95"/>
    <s v="6,873.95"/>
    <s v=""/>
    <x v="1"/>
    <x v="0"/>
    <n v="404.35"/>
    <n v="6873.9500000000007"/>
    <n v="0"/>
    <n v="6873.9500000000007"/>
    <s v="False"/>
    <n v="0"/>
  </r>
  <r>
    <n v="20068"/>
    <x v="19"/>
    <x v="1"/>
    <x v="2"/>
    <x v="6"/>
    <x v="1"/>
    <x v="0"/>
    <n v="18"/>
    <n v="36.9"/>
    <n v="664.17"/>
    <s v="£664.17"/>
    <s v=""/>
    <x v="1"/>
    <x v="0"/>
    <n v="36.9"/>
    <n v="664.19999999999993"/>
    <n v="0"/>
    <n v="664.19999999999993"/>
    <s v="False"/>
    <n v="0"/>
  </r>
  <r>
    <n v="20069"/>
    <x v="32"/>
    <x v="1"/>
    <x v="2"/>
    <x v="6"/>
    <x v="1"/>
    <x v="3"/>
    <n v="9"/>
    <n v="36.369999999999997"/>
    <n v="294.62"/>
    <s v="£294.62"/>
    <s v="SAVE10"/>
    <x v="0"/>
    <x v="0"/>
    <n v="36.369999999999997"/>
    <n v="294.59699999999998"/>
    <n v="0.1"/>
    <n v="294.59699999999998"/>
    <s v="False"/>
    <n v="0"/>
  </r>
  <r>
    <n v="20070"/>
    <x v="29"/>
    <x v="0"/>
    <x v="1"/>
    <x v="11"/>
    <x v="0"/>
    <x v="4"/>
    <n v="3"/>
    <n v="23.66"/>
    <n v="71"/>
    <s v="£ 71"/>
    <s v=""/>
    <x v="0"/>
    <x v="0"/>
    <n v="23.66"/>
    <n v="70.98"/>
    <n v="0"/>
    <n v="70.98"/>
    <s v="False"/>
    <n v="0"/>
  </r>
  <r>
    <n v="20071"/>
    <x v="50"/>
    <x v="0"/>
    <x v="13"/>
    <x v="3"/>
    <x v="0"/>
    <x v="4"/>
    <n v="7"/>
    <n v="193.23"/>
    <n v="1217.33"/>
    <s v="£1,217.33"/>
    <s v="SAVE10"/>
    <x v="0"/>
    <x v="0"/>
    <n v="193.23"/>
    <n v="1217.3489999999999"/>
    <n v="0.1"/>
    <n v="1217.3489999999999"/>
    <s v="False"/>
    <n v="0"/>
  </r>
  <r>
    <n v="20072"/>
    <x v="51"/>
    <x v="0"/>
    <x v="13"/>
    <x v="0"/>
    <x v="0"/>
    <x v="0"/>
    <n v="21"/>
    <n v="31.58"/>
    <n v="596.86"/>
    <s v="596.86"/>
    <s v="SAVE10"/>
    <x v="1"/>
    <x v="0"/>
    <n v="31.58"/>
    <n v="596.86199999999997"/>
    <n v="0.1"/>
    <n v="596.86199999999997"/>
    <s v="False"/>
    <n v="0"/>
  </r>
  <r>
    <n v="20073"/>
    <x v="22"/>
    <x v="1"/>
    <x v="2"/>
    <x v="2"/>
    <x v="1"/>
    <x v="1"/>
    <n v="20"/>
    <n v="384.88"/>
    <n v="7698"/>
    <s v="£ 7,698"/>
    <s v=""/>
    <x v="0"/>
    <x v="0"/>
    <n v="384.88"/>
    <n v="7697.6"/>
    <n v="0"/>
    <n v="7697.6"/>
    <s v="False"/>
    <n v="0"/>
  </r>
  <r>
    <n v="20074"/>
    <x v="6"/>
    <x v="1"/>
    <x v="6"/>
    <x v="3"/>
    <x v="0"/>
    <x v="5"/>
    <n v="2"/>
    <n v="200"/>
    <n v="331.06"/>
    <s v="£331.06"/>
    <s v="BULK20"/>
    <x v="0"/>
    <x v="0"/>
    <n v="200"/>
    <n v="320"/>
    <n v="0.2"/>
    <n v="320"/>
    <s v="False"/>
    <n v="0"/>
  </r>
  <r>
    <n v="20075"/>
    <x v="27"/>
    <x v="3"/>
    <x v="4"/>
    <x v="9"/>
    <x v="1"/>
    <x v="4"/>
    <n v="24"/>
    <n v="306"/>
    <n v="6609.43"/>
    <s v="6,609.43"/>
    <s v="SAVE10"/>
    <x v="1"/>
    <x v="0"/>
    <n v="306"/>
    <n v="6609.6"/>
    <n v="0.1"/>
    <n v="6609.6"/>
    <s v="False"/>
    <n v="0"/>
  </r>
  <r>
    <n v="20076"/>
    <x v="52"/>
    <x v="4"/>
    <x v="5"/>
    <x v="2"/>
    <x v="1"/>
    <x v="4"/>
    <n v="5"/>
    <n v="386.48"/>
    <n v="1739.14"/>
    <s v="1,739.14"/>
    <s v="SAVE10"/>
    <x v="1"/>
    <x v="0"/>
    <n v="386.48"/>
    <n v="1739.16"/>
    <n v="0.1"/>
    <n v="1739.16"/>
    <s v="False"/>
    <n v="0"/>
  </r>
  <r>
    <n v="20077"/>
    <x v="14"/>
    <x v="4"/>
    <x v="12"/>
    <x v="11"/>
    <x v="0"/>
    <x v="2"/>
    <n v="19"/>
    <n v="27.06"/>
    <n v="436.98"/>
    <s v="436.98"/>
    <s v="WELCOME15"/>
    <x v="0"/>
    <x v="0"/>
    <n v="27.06"/>
    <n v="437.01899999999995"/>
    <n v="0.15"/>
    <n v="437.01899999999995"/>
    <s v="False"/>
    <n v="0"/>
  </r>
  <r>
    <n v="20078"/>
    <x v="11"/>
    <x v="5"/>
    <x v="8"/>
    <x v="9"/>
    <x v="1"/>
    <x v="4"/>
    <n v="3"/>
    <n v="299.44"/>
    <n v="718.65"/>
    <s v="718.65"/>
    <s v="BULK20"/>
    <x v="0"/>
    <x v="0"/>
    <n v="299.44"/>
    <n v="718.65599999999995"/>
    <n v="0.2"/>
    <n v="718.65599999999995"/>
    <s v="True"/>
    <n v="0"/>
  </r>
  <r>
    <n v="20079"/>
    <x v="53"/>
    <x v="0"/>
    <x v="0"/>
    <x v="10"/>
    <x v="0"/>
    <x v="0"/>
    <n v="8"/>
    <n v="189.92"/>
    <n v="1215.48"/>
    <s v="£1,215.48"/>
    <s v="BULK20"/>
    <x v="0"/>
    <x v="0"/>
    <n v="189.92"/>
    <n v="1215.4880000000001"/>
    <n v="0.2"/>
    <n v="1215.4880000000001"/>
    <s v="True"/>
    <n v="0"/>
  </r>
  <r>
    <n v="20080"/>
    <x v="30"/>
    <x v="3"/>
    <x v="14"/>
    <x v="0"/>
    <x v="0"/>
    <x v="2"/>
    <n v="8"/>
    <n v="36.08"/>
    <n v="245.36"/>
    <s v="£245.36"/>
    <s v="WELCOME15"/>
    <x v="0"/>
    <x v="0"/>
    <n v="36.08"/>
    <n v="245.34399999999999"/>
    <n v="0.15"/>
    <n v="245.34399999999999"/>
    <s v="False"/>
    <n v="0"/>
  </r>
  <r>
    <n v="20081"/>
    <x v="54"/>
    <x v="0"/>
    <x v="13"/>
    <x v="3"/>
    <x v="0"/>
    <x v="3"/>
    <n v="19"/>
    <n v="198.24"/>
    <n v="3833.05"/>
    <s v="£3,833.05"/>
    <s v=""/>
    <x v="1"/>
    <x v="0"/>
    <n v="198.24"/>
    <n v="3766.5600000000004"/>
    <n v="0"/>
    <n v="3766.5600000000004"/>
    <s v="False"/>
    <n v="0"/>
  </r>
  <r>
    <n v="20082"/>
    <x v="7"/>
    <x v="0"/>
    <x v="1"/>
    <x v="1"/>
    <x v="1"/>
    <x v="0"/>
    <n v="12"/>
    <n v="119.02"/>
    <n v="1428.19"/>
    <s v="1,428.19"/>
    <s v=""/>
    <x v="0"/>
    <x v="0"/>
    <n v="119.02"/>
    <n v="1428.24"/>
    <n v="0"/>
    <n v="1428.24"/>
    <s v="False"/>
    <n v="0"/>
  </r>
  <r>
    <n v="20083"/>
    <x v="45"/>
    <x v="4"/>
    <x v="5"/>
    <x v="0"/>
    <x v="0"/>
    <x v="2"/>
    <n v="19"/>
    <n v="31.83"/>
    <n v="604.69000000000005"/>
    <s v="£604.69"/>
    <s v=""/>
    <x v="0"/>
    <x v="1"/>
    <n v="31.83"/>
    <n v="604.77"/>
    <n v="0"/>
    <n v="604.77"/>
    <s v="False"/>
    <n v="1"/>
  </r>
  <r>
    <n v="20084"/>
    <x v="55"/>
    <x v="4"/>
    <x v="12"/>
    <x v="10"/>
    <x v="0"/>
    <x v="2"/>
    <n v="3"/>
    <n v="197.08"/>
    <n v="472.98"/>
    <s v="£472.98"/>
    <s v="BULK20"/>
    <x v="0"/>
    <x v="0"/>
    <n v="197.08"/>
    <n v="472.99200000000002"/>
    <n v="0.2"/>
    <n v="472.99200000000002"/>
    <s v="False"/>
    <n v="0"/>
  </r>
  <r>
    <n v="20085"/>
    <x v="32"/>
    <x v="0"/>
    <x v="7"/>
    <x v="4"/>
    <x v="0"/>
    <x v="4"/>
    <n v="5"/>
    <n v="450"/>
    <n v="1734"/>
    <s v="£1,734.00"/>
    <s v="BULK20"/>
    <x v="0"/>
    <x v="0"/>
    <n v="450"/>
    <n v="1800"/>
    <n v="0.2"/>
    <n v="1800"/>
    <s v="False"/>
    <n v="0"/>
  </r>
  <r>
    <n v="20086"/>
    <x v="21"/>
    <x v="1"/>
    <x v="2"/>
    <x v="7"/>
    <x v="0"/>
    <x v="3"/>
    <n v="19"/>
    <n v="67.41"/>
    <n v="1152.7"/>
    <s v="£1,152.70"/>
    <s v="SAVE10"/>
    <x v="0"/>
    <x v="0"/>
    <n v="67.41"/>
    <n v="1152.711"/>
    <n v="0.1"/>
    <n v="1152.711"/>
    <s v="True"/>
    <n v="0"/>
  </r>
  <r>
    <n v="20087"/>
    <x v="53"/>
    <x v="1"/>
    <x v="6"/>
    <x v="1"/>
    <x v="1"/>
    <x v="1"/>
    <n v="20"/>
    <n v="122.48"/>
    <n v="2327.06"/>
    <s v="2,327.06"/>
    <s v="CLEAR5"/>
    <x v="1"/>
    <x v="0"/>
    <n v="122.48"/>
    <n v="2327.12"/>
    <n v="0.05"/>
    <n v="2327.12"/>
    <s v="False"/>
    <n v="0"/>
  </r>
  <r>
    <n v="20088"/>
    <x v="5"/>
    <x v="4"/>
    <x v="5"/>
    <x v="6"/>
    <x v="1"/>
    <x v="3"/>
    <n v="3"/>
    <n v="37.07"/>
    <n v="100.09"/>
    <s v="£100.09"/>
    <s v="SAVE10"/>
    <x v="0"/>
    <x v="0"/>
    <n v="37.07"/>
    <n v="100.08900000000001"/>
    <n v="0.1"/>
    <n v="100.08900000000001"/>
    <s v="False"/>
    <n v="0"/>
  </r>
  <r>
    <n v="20089"/>
    <x v="56"/>
    <x v="5"/>
    <x v="8"/>
    <x v="0"/>
    <x v="0"/>
    <x v="1"/>
    <n v="23"/>
    <n v="36.24"/>
    <n v="791.89"/>
    <s v="£791.89"/>
    <s v="CLEAR5"/>
    <x v="1"/>
    <x v="0"/>
    <n v="36.24"/>
    <n v="791.84400000000005"/>
    <n v="0.05"/>
    <n v="791.84400000000005"/>
    <s v="False"/>
    <n v="0"/>
  </r>
  <r>
    <n v="20090"/>
    <x v="12"/>
    <x v="4"/>
    <x v="5"/>
    <x v="1"/>
    <x v="1"/>
    <x v="2"/>
    <n v="7"/>
    <n v="116.36"/>
    <n v="733.06"/>
    <s v="733.06"/>
    <s v="SAVE10"/>
    <x v="0"/>
    <x v="1"/>
    <n v="116.36"/>
    <n v="733.06799999999998"/>
    <n v="0.1"/>
    <n v="733.06799999999998"/>
    <s v="False"/>
    <n v="1"/>
  </r>
  <r>
    <n v="20091"/>
    <x v="40"/>
    <x v="2"/>
    <x v="3"/>
    <x v="9"/>
    <x v="1"/>
    <x v="3"/>
    <n v="16"/>
    <n v="273.77"/>
    <n v="4380.3999999999996"/>
    <s v="4,380.40"/>
    <s v=""/>
    <x v="1"/>
    <x v="0"/>
    <n v="273.77"/>
    <n v="4380.32"/>
    <n v="0"/>
    <n v="4380.32"/>
    <s v="False"/>
    <n v="0"/>
  </r>
  <r>
    <n v="20092"/>
    <x v="30"/>
    <x v="5"/>
    <x v="9"/>
    <x v="6"/>
    <x v="1"/>
    <x v="1"/>
    <n v="10"/>
    <n v="35.630000000000003"/>
    <n v="320.68"/>
    <s v="£320.68"/>
    <s v="SAVE10"/>
    <x v="0"/>
    <x v="0"/>
    <n v="35.630000000000003"/>
    <n v="320.67"/>
    <n v="0.1"/>
    <n v="320.67"/>
    <s v="False"/>
    <n v="0"/>
  </r>
  <r>
    <n v="20093"/>
    <x v="57"/>
    <x v="1"/>
    <x v="6"/>
    <x v="5"/>
    <x v="0"/>
    <x v="3"/>
    <n v="13"/>
    <n v="850.92"/>
    <n v="11062.02"/>
    <s v="£11,062.02"/>
    <s v=""/>
    <x v="0"/>
    <x v="0"/>
    <n v="850.92"/>
    <n v="11061.96"/>
    <n v="0"/>
    <n v="11061.96"/>
    <s v="False"/>
    <n v="0"/>
  </r>
  <r>
    <n v="20094"/>
    <x v="14"/>
    <x v="5"/>
    <x v="9"/>
    <x v="7"/>
    <x v="0"/>
    <x v="3"/>
    <n v="2"/>
    <n v="64.239999999999995"/>
    <n v="128.47999999999999"/>
    <s v="£128.48"/>
    <s v=""/>
    <x v="0"/>
    <x v="0"/>
    <n v="64.239999999999995"/>
    <n v="128.47999999999999"/>
    <n v="0"/>
    <n v="128.47999999999999"/>
    <s v="False"/>
    <n v="0"/>
  </r>
  <r>
    <n v="20095"/>
    <x v="47"/>
    <x v="2"/>
    <x v="10"/>
    <x v="0"/>
    <x v="0"/>
    <x v="1"/>
    <n v="19"/>
    <n v="35.68"/>
    <n v="678"/>
    <s v="£ 678"/>
    <s v=""/>
    <x v="1"/>
    <x v="0"/>
    <n v="35.68"/>
    <n v="677.92"/>
    <n v="0"/>
    <n v="677.92"/>
    <s v="False"/>
    <n v="0"/>
  </r>
  <r>
    <n v="20096"/>
    <x v="58"/>
    <x v="2"/>
    <x v="3"/>
    <x v="6"/>
    <x v="1"/>
    <x v="2"/>
    <n v="14"/>
    <n v="36"/>
    <n v="402.48"/>
    <s v="£402.48"/>
    <s v="BULK20"/>
    <x v="1"/>
    <x v="0"/>
    <n v="36"/>
    <n v="403.20000000000005"/>
    <n v="0.2"/>
    <n v="403.20000000000005"/>
    <s v="False"/>
    <n v="0"/>
  </r>
  <r>
    <n v="20097"/>
    <x v="59"/>
    <x v="3"/>
    <x v="4"/>
    <x v="1"/>
    <x v="1"/>
    <x v="3"/>
    <n v="19"/>
    <n v="127"/>
    <n v="2411.4699999999998"/>
    <s v="£2,411.47"/>
    <s v=""/>
    <x v="1"/>
    <x v="0"/>
    <n v="127"/>
    <n v="2413"/>
    <n v="0"/>
    <n v="2413"/>
    <s v="False"/>
    <n v="0"/>
  </r>
  <r>
    <n v="20098"/>
    <x v="60"/>
    <x v="0"/>
    <x v="1"/>
    <x v="4"/>
    <x v="0"/>
    <x v="5"/>
    <n v="23"/>
    <n v="432.5"/>
    <n v="9947.4"/>
    <s v="£9,947.40"/>
    <s v=""/>
    <x v="1"/>
    <x v="1"/>
    <n v="432.5"/>
    <n v="9947.5"/>
    <n v="0"/>
    <n v="9947.5"/>
    <s v="False"/>
    <n v="1"/>
  </r>
  <r>
    <n v="20099"/>
    <x v="34"/>
    <x v="1"/>
    <x v="11"/>
    <x v="1"/>
    <x v="1"/>
    <x v="0"/>
    <n v="13"/>
    <n v="126.08"/>
    <n v="1638.99"/>
    <s v="£1,638.99"/>
    <s v=""/>
    <x v="0"/>
    <x v="1"/>
    <n v="126.08"/>
    <n v="1639.04"/>
    <n v="0"/>
    <n v="1639.04"/>
    <s v="False"/>
    <n v="1"/>
  </r>
  <r>
    <n v="20100"/>
    <x v="30"/>
    <x v="5"/>
    <x v="9"/>
    <x v="9"/>
    <x v="1"/>
    <x v="0"/>
    <n v="9"/>
    <n v="265.89999999999998"/>
    <n v="2393"/>
    <s v="£ 2,393"/>
    <s v=""/>
    <x v="0"/>
    <x v="1"/>
    <n v="265.89999999999998"/>
    <n v="2393.1"/>
    <n v="0"/>
    <n v="2393.1"/>
    <s v="False"/>
    <n v="1"/>
  </r>
  <r>
    <n v="20101"/>
    <x v="25"/>
    <x v="0"/>
    <x v="7"/>
    <x v="7"/>
    <x v="0"/>
    <x v="3"/>
    <n v="12"/>
    <n v="60"/>
    <n v="722.59"/>
    <s v="£722.59"/>
    <s v=""/>
    <x v="0"/>
    <x v="0"/>
    <n v="60"/>
    <n v="720"/>
    <n v="0"/>
    <n v="720"/>
    <s v="False"/>
    <n v="0"/>
  </r>
  <r>
    <n v="20102"/>
    <x v="26"/>
    <x v="0"/>
    <x v="0"/>
    <x v="11"/>
    <x v="0"/>
    <x v="2"/>
    <n v="7"/>
    <n v="23.28"/>
    <n v="162.94"/>
    <s v="162.94"/>
    <s v=""/>
    <x v="0"/>
    <x v="0"/>
    <n v="23.28"/>
    <n v="162.96"/>
    <n v="0"/>
    <n v="162.96"/>
    <s v="False"/>
    <n v="0"/>
  </r>
  <r>
    <n v="20103"/>
    <x v="38"/>
    <x v="3"/>
    <x v="14"/>
    <x v="10"/>
    <x v="0"/>
    <x v="3"/>
    <n v="16"/>
    <n v="180.83"/>
    <n v="2603.9299999999998"/>
    <s v="£2,603.93"/>
    <s v="SAVE10"/>
    <x v="0"/>
    <x v="0"/>
    <n v="180.83"/>
    <n v="2603.9520000000002"/>
    <n v="0.1"/>
    <n v="2603.9520000000002"/>
    <s v="False"/>
    <n v="0"/>
  </r>
  <r>
    <n v="20104"/>
    <x v="16"/>
    <x v="0"/>
    <x v="1"/>
    <x v="4"/>
    <x v="0"/>
    <x v="3"/>
    <n v="19"/>
    <n v="450"/>
    <n v="6929.45"/>
    <s v="£6,929.45"/>
    <s v="SAVE10"/>
    <x v="1"/>
    <x v="0"/>
    <n v="450"/>
    <n v="7695"/>
    <n v="0.1"/>
    <n v="7695"/>
    <s v="False"/>
    <n v="0"/>
  </r>
  <r>
    <n v="20105"/>
    <x v="61"/>
    <x v="4"/>
    <x v="5"/>
    <x v="7"/>
    <x v="0"/>
    <x v="2"/>
    <n v="3"/>
    <n v="69.760000000000005"/>
    <n v="209.28"/>
    <s v="£209.28"/>
    <s v=""/>
    <x v="0"/>
    <x v="0"/>
    <n v="69.760000000000005"/>
    <n v="209.28000000000003"/>
    <n v="0"/>
    <n v="209.28000000000003"/>
    <s v="False"/>
    <n v="0"/>
  </r>
  <r>
    <n v="20106"/>
    <x v="48"/>
    <x v="4"/>
    <x v="5"/>
    <x v="7"/>
    <x v="0"/>
    <x v="3"/>
    <n v="1"/>
    <n v="58.52"/>
    <n v="53"/>
    <s v="£ 53"/>
    <s v="SAVE10"/>
    <x v="0"/>
    <x v="0"/>
    <n v="58.52"/>
    <n v="52.668000000000006"/>
    <n v="0.1"/>
    <n v="52.668000000000006"/>
    <s v="False"/>
    <n v="0"/>
  </r>
  <r>
    <n v="20107"/>
    <x v="23"/>
    <x v="0"/>
    <x v="13"/>
    <x v="4"/>
    <x v="0"/>
    <x v="4"/>
    <n v="11"/>
    <n v="482"/>
    <n v="4237.92"/>
    <s v="4,237.92"/>
    <s v="BULK20"/>
    <x v="1"/>
    <x v="0"/>
    <n v="482"/>
    <n v="4241.6000000000004"/>
    <n v="0.2"/>
    <n v="4241.6000000000004"/>
    <s v="False"/>
    <n v="0"/>
  </r>
  <r>
    <n v="20108"/>
    <x v="10"/>
    <x v="0"/>
    <x v="7"/>
    <x v="3"/>
    <x v="0"/>
    <x v="5"/>
    <n v="20"/>
    <n v="185.93"/>
    <n v="3347"/>
    <s v="£ 3,347"/>
    <s v="SAVE10"/>
    <x v="1"/>
    <x v="0"/>
    <n v="185.93"/>
    <n v="3346.7400000000002"/>
    <n v="0.1"/>
    <n v="3346.7400000000002"/>
    <s v="False"/>
    <n v="0"/>
  </r>
  <r>
    <n v="20109"/>
    <x v="25"/>
    <x v="3"/>
    <x v="14"/>
    <x v="8"/>
    <x v="0"/>
    <x v="3"/>
    <n v="5"/>
    <n v="131.54"/>
    <n v="657.69"/>
    <s v="£657.69"/>
    <s v=""/>
    <x v="1"/>
    <x v="0"/>
    <n v="131.54"/>
    <n v="657.69999999999993"/>
    <n v="0"/>
    <n v="657.69999999999993"/>
    <s v="False"/>
    <n v="0"/>
  </r>
  <r>
    <n v="20110"/>
    <x v="28"/>
    <x v="0"/>
    <x v="13"/>
    <x v="3"/>
    <x v="0"/>
    <x v="4"/>
    <n v="8"/>
    <n v="200"/>
    <n v="1519.66"/>
    <s v="1,519.66"/>
    <s v="CLEAR5"/>
    <x v="0"/>
    <x v="0"/>
    <n v="200"/>
    <n v="1520"/>
    <n v="0.05"/>
    <n v="1520"/>
    <s v="False"/>
    <n v="0"/>
  </r>
  <r>
    <n v="20111"/>
    <x v="28"/>
    <x v="1"/>
    <x v="11"/>
    <x v="1"/>
    <x v="1"/>
    <x v="0"/>
    <n v="18"/>
    <n v="120.71"/>
    <n v="1955.44"/>
    <s v="£1,955.44"/>
    <s v="SAVE10"/>
    <x v="1"/>
    <x v="0"/>
    <n v="120.71"/>
    <n v="1955.5019999999997"/>
    <n v="0.1"/>
    <n v="1955.5019999999997"/>
    <s v="False"/>
    <n v="0"/>
  </r>
  <r>
    <n v="20112"/>
    <x v="18"/>
    <x v="4"/>
    <x v="12"/>
    <x v="8"/>
    <x v="0"/>
    <x v="5"/>
    <n v="7"/>
    <n v="149"/>
    <n v="936.75"/>
    <s v="£936.75"/>
    <s v="SAVE10"/>
    <x v="0"/>
    <x v="1"/>
    <n v="149"/>
    <n v="938.7"/>
    <n v="0.1"/>
    <n v="938.7"/>
    <s v="False"/>
    <n v="1"/>
  </r>
  <r>
    <n v="20113"/>
    <x v="51"/>
    <x v="3"/>
    <x v="14"/>
    <x v="1"/>
    <x v="1"/>
    <x v="2"/>
    <n v="19"/>
    <n v="116"/>
    <n v="2199.11"/>
    <s v="£2,199.11"/>
    <s v=""/>
    <x v="1"/>
    <x v="0"/>
    <n v="116"/>
    <n v="2204"/>
    <n v="0"/>
    <n v="2204"/>
    <s v="False"/>
    <n v="0"/>
  </r>
  <r>
    <n v="20114"/>
    <x v="5"/>
    <x v="0"/>
    <x v="13"/>
    <x v="8"/>
    <x v="0"/>
    <x v="0"/>
    <n v="21"/>
    <n v="128.91999999999999"/>
    <n v="2165.77"/>
    <s v="2,165.77"/>
    <s v="BULK20"/>
    <x v="1"/>
    <x v="0"/>
    <n v="128.91999999999999"/>
    <n v="2165.8559999999998"/>
    <n v="0.2"/>
    <n v="2165.8559999999998"/>
    <s v="False"/>
    <n v="0"/>
  </r>
  <r>
    <n v="20115"/>
    <x v="55"/>
    <x v="1"/>
    <x v="11"/>
    <x v="9"/>
    <x v="1"/>
    <x v="3"/>
    <n v="18"/>
    <n v="296.17"/>
    <n v="5331.04"/>
    <s v="£5,331.04"/>
    <s v=""/>
    <x v="1"/>
    <x v="0"/>
    <n v="296.17"/>
    <n v="5331.06"/>
    <n v="0"/>
    <n v="5331.06"/>
    <s v="False"/>
    <n v="0"/>
  </r>
  <r>
    <n v="20116"/>
    <x v="62"/>
    <x v="5"/>
    <x v="8"/>
    <x v="9"/>
    <x v="1"/>
    <x v="0"/>
    <n v="14"/>
    <n v="271"/>
    <n v="3787.58"/>
    <s v="£3,787.58"/>
    <s v=""/>
    <x v="1"/>
    <x v="0"/>
    <n v="271"/>
    <n v="3794"/>
    <n v="0"/>
    <n v="3794"/>
    <s v="False"/>
    <n v="0"/>
  </r>
  <r>
    <n v="20117"/>
    <x v="2"/>
    <x v="5"/>
    <x v="8"/>
    <x v="5"/>
    <x v="0"/>
    <x v="5"/>
    <n v="3"/>
    <n v="784.64"/>
    <n v="1883.13"/>
    <s v="£1,883.13"/>
    <s v="BULK20"/>
    <x v="0"/>
    <x v="0"/>
    <n v="784.64"/>
    <n v="1883.1360000000002"/>
    <n v="0.2"/>
    <n v="1883.1360000000002"/>
    <s v="False"/>
    <n v="0"/>
  </r>
  <r>
    <n v="20118"/>
    <x v="63"/>
    <x v="3"/>
    <x v="14"/>
    <x v="7"/>
    <x v="0"/>
    <x v="1"/>
    <n v="20"/>
    <n v="67"/>
    <n v="1079"/>
    <s v="£ 1,079"/>
    <s v="BULK20"/>
    <x v="1"/>
    <x v="1"/>
    <n v="67"/>
    <n v="1072"/>
    <n v="0.2"/>
    <n v="1072"/>
    <s v="False"/>
    <n v="1"/>
  </r>
  <r>
    <n v="20119"/>
    <x v="64"/>
    <x v="0"/>
    <x v="13"/>
    <x v="0"/>
    <x v="0"/>
    <x v="3"/>
    <n v="20"/>
    <n v="32.11"/>
    <n v="642.17999999999995"/>
    <s v="642.18"/>
    <s v=""/>
    <x v="1"/>
    <x v="0"/>
    <n v="32.11"/>
    <n v="642.20000000000005"/>
    <n v="0"/>
    <n v="642.20000000000005"/>
    <s v="False"/>
    <n v="0"/>
  </r>
  <r>
    <n v="20120"/>
    <x v="9"/>
    <x v="5"/>
    <x v="9"/>
    <x v="11"/>
    <x v="0"/>
    <x v="3"/>
    <n v="20"/>
    <n v="23.36"/>
    <n v="443.86"/>
    <s v="443.86"/>
    <s v="CLEAR5"/>
    <x v="0"/>
    <x v="0"/>
    <n v="23.36"/>
    <n v="443.84"/>
    <n v="0.05"/>
    <n v="443.84"/>
    <s v="False"/>
    <n v="0"/>
  </r>
  <r>
    <n v="20121"/>
    <x v="4"/>
    <x v="4"/>
    <x v="12"/>
    <x v="10"/>
    <x v="0"/>
    <x v="3"/>
    <n v="9"/>
    <n v="183.78"/>
    <n v="1571.31"/>
    <s v="£1,571.31"/>
    <s v="CLEAR5"/>
    <x v="0"/>
    <x v="0"/>
    <n v="183.78"/>
    <n v="1571.319"/>
    <n v="0.05"/>
    <n v="1571.319"/>
    <s v="False"/>
    <n v="0"/>
  </r>
  <r>
    <n v="20122"/>
    <x v="5"/>
    <x v="0"/>
    <x v="1"/>
    <x v="10"/>
    <x v="0"/>
    <x v="5"/>
    <n v="15"/>
    <n v="184.87"/>
    <n v="2773.12"/>
    <s v="£2,773.12"/>
    <s v=""/>
    <x v="0"/>
    <x v="0"/>
    <n v="184.87"/>
    <n v="2773.05"/>
    <n v="0"/>
    <n v="2773.05"/>
    <s v="False"/>
    <n v="0"/>
  </r>
  <r>
    <n v="20123"/>
    <x v="65"/>
    <x v="4"/>
    <x v="5"/>
    <x v="2"/>
    <x v="1"/>
    <x v="0"/>
    <n v="24"/>
    <n v="379"/>
    <n v="8180.94"/>
    <s v="8,180.94"/>
    <s v="SAVE10"/>
    <x v="1"/>
    <x v="0"/>
    <n v="379"/>
    <n v="8186.4000000000005"/>
    <n v="0.1"/>
    <n v="8186.4000000000005"/>
    <s v="False"/>
    <n v="0"/>
  </r>
  <r>
    <n v="20124"/>
    <x v="13"/>
    <x v="5"/>
    <x v="9"/>
    <x v="11"/>
    <x v="0"/>
    <x v="4"/>
    <n v="11"/>
    <n v="26"/>
    <n v="282.73"/>
    <s v="£282.73"/>
    <s v=""/>
    <x v="0"/>
    <x v="0"/>
    <n v="26"/>
    <n v="286"/>
    <n v="0"/>
    <n v="286"/>
    <s v="False"/>
    <n v="0"/>
  </r>
  <r>
    <n v="20125"/>
    <x v="42"/>
    <x v="0"/>
    <x v="13"/>
    <x v="9"/>
    <x v="1"/>
    <x v="2"/>
    <n v="19"/>
    <n v="271.22000000000003"/>
    <n v="5153.13"/>
    <s v="£5,153.13"/>
    <s v=""/>
    <x v="0"/>
    <x v="0"/>
    <n v="271.22000000000003"/>
    <n v="5153.18"/>
    <n v="0"/>
    <n v="5153.18"/>
    <s v="False"/>
    <n v="0"/>
  </r>
  <r>
    <n v="20126"/>
    <x v="44"/>
    <x v="0"/>
    <x v="7"/>
    <x v="0"/>
    <x v="0"/>
    <x v="5"/>
    <n v="13"/>
    <n v="34.1"/>
    <n v="399"/>
    <s v="£ 399"/>
    <s v="SAVE10"/>
    <x v="1"/>
    <x v="0"/>
    <n v="34.1"/>
    <n v="398.97"/>
    <n v="0.1"/>
    <n v="398.97"/>
    <s v="False"/>
    <n v="0"/>
  </r>
  <r>
    <n v="20127"/>
    <x v="27"/>
    <x v="4"/>
    <x v="5"/>
    <x v="1"/>
    <x v="1"/>
    <x v="5"/>
    <n v="3"/>
    <n v="120"/>
    <n v="295.55"/>
    <s v="295.55"/>
    <s v="BULK20"/>
    <x v="0"/>
    <x v="0"/>
    <n v="120"/>
    <n v="288"/>
    <n v="0.2"/>
    <n v="288"/>
    <s v="False"/>
    <n v="0"/>
  </r>
  <r>
    <n v="20128"/>
    <x v="17"/>
    <x v="0"/>
    <x v="0"/>
    <x v="5"/>
    <x v="0"/>
    <x v="1"/>
    <n v="14"/>
    <n v="818.06"/>
    <n v="10307.5"/>
    <s v="£10,307.50"/>
    <s v="SAVE10"/>
    <x v="1"/>
    <x v="0"/>
    <n v="818.06"/>
    <n v="10307.556"/>
    <n v="0.1"/>
    <n v="10307.556"/>
    <s v="False"/>
    <n v="0"/>
  </r>
  <r>
    <n v="20129"/>
    <x v="6"/>
    <x v="0"/>
    <x v="0"/>
    <x v="0"/>
    <x v="0"/>
    <x v="3"/>
    <n v="25"/>
    <n v="36.049999999999997"/>
    <n v="1003.96"/>
    <s v="£1,003.96"/>
    <s v=""/>
    <x v="1"/>
    <x v="0"/>
    <n v="36.049999999999997"/>
    <n v="901.24999999999989"/>
    <n v="0"/>
    <n v="901.24999999999989"/>
    <s v="False"/>
    <n v="0"/>
  </r>
  <r>
    <n v="20130"/>
    <x v="66"/>
    <x v="0"/>
    <x v="1"/>
    <x v="8"/>
    <x v="0"/>
    <x v="1"/>
    <n v="4"/>
    <n v="143.30000000000001"/>
    <n v="573"/>
    <s v="£ 573"/>
    <s v=""/>
    <x v="0"/>
    <x v="0"/>
    <n v="143.30000000000001"/>
    <n v="573.20000000000005"/>
    <n v="0"/>
    <n v="573.20000000000005"/>
    <s v="True"/>
    <n v="0"/>
  </r>
  <r>
    <n v="20131"/>
    <x v="39"/>
    <x v="3"/>
    <x v="14"/>
    <x v="4"/>
    <x v="0"/>
    <x v="2"/>
    <n v="4"/>
    <n v="462.99"/>
    <n v="1666.77"/>
    <s v="1,666.77"/>
    <s v="SAVE10"/>
    <x v="0"/>
    <x v="0"/>
    <n v="462.99"/>
    <n v="1666.7640000000001"/>
    <n v="0.1"/>
    <n v="1666.7640000000001"/>
    <s v="False"/>
    <n v="0"/>
  </r>
  <r>
    <n v="20132"/>
    <x v="67"/>
    <x v="1"/>
    <x v="2"/>
    <x v="4"/>
    <x v="0"/>
    <x v="3"/>
    <n v="17"/>
    <n v="429.46"/>
    <n v="7300.9"/>
    <s v="£7,300.90"/>
    <s v=""/>
    <x v="1"/>
    <x v="0"/>
    <n v="429.46"/>
    <n v="7300.82"/>
    <n v="0"/>
    <n v="7300.82"/>
    <s v="False"/>
    <n v="0"/>
  </r>
  <r>
    <n v="20133"/>
    <x v="48"/>
    <x v="1"/>
    <x v="2"/>
    <x v="10"/>
    <x v="0"/>
    <x v="0"/>
    <n v="16"/>
    <n v="180"/>
    <n v="2845.84"/>
    <s v="£2,845.84"/>
    <s v=""/>
    <x v="1"/>
    <x v="0"/>
    <n v="180"/>
    <n v="2880"/>
    <n v="0"/>
    <n v="2880"/>
    <s v="False"/>
    <n v="0"/>
  </r>
  <r>
    <n v="20134"/>
    <x v="61"/>
    <x v="2"/>
    <x v="10"/>
    <x v="5"/>
    <x v="0"/>
    <x v="5"/>
    <n v="16"/>
    <n v="912.8"/>
    <n v="12414.09"/>
    <s v="12,414.09"/>
    <s v="WELCOME15"/>
    <x v="0"/>
    <x v="0"/>
    <n v="912.8"/>
    <n v="12414.08"/>
    <n v="0.15"/>
    <n v="12414.08"/>
    <s v="False"/>
    <n v="0"/>
  </r>
  <r>
    <n v="20135"/>
    <x v="68"/>
    <x v="1"/>
    <x v="11"/>
    <x v="8"/>
    <x v="0"/>
    <x v="2"/>
    <n v="17"/>
    <n v="144.33000000000001"/>
    <n v="2453.59"/>
    <s v="£2,453.59"/>
    <s v=""/>
    <x v="0"/>
    <x v="0"/>
    <n v="144.33000000000001"/>
    <n v="2453.61"/>
    <n v="0"/>
    <n v="2453.61"/>
    <s v="False"/>
    <n v="0"/>
  </r>
  <r>
    <n v="20136"/>
    <x v="67"/>
    <x v="4"/>
    <x v="12"/>
    <x v="10"/>
    <x v="0"/>
    <x v="4"/>
    <n v="25"/>
    <n v="188.73"/>
    <n v="4246.43"/>
    <s v="4,246.43"/>
    <s v="SAVE10"/>
    <x v="1"/>
    <x v="0"/>
    <n v="188.73"/>
    <n v="4246.4250000000002"/>
    <n v="0.1"/>
    <n v="4246.4250000000002"/>
    <s v="False"/>
    <n v="0"/>
  </r>
  <r>
    <n v="20137"/>
    <x v="16"/>
    <x v="0"/>
    <x v="7"/>
    <x v="7"/>
    <x v="0"/>
    <x v="4"/>
    <n v="14"/>
    <n v="64.78"/>
    <n v="906.89"/>
    <s v="£906.89"/>
    <s v=""/>
    <x v="0"/>
    <x v="0"/>
    <n v="64.78"/>
    <n v="906.92000000000007"/>
    <n v="0"/>
    <n v="906.92000000000007"/>
    <s v="False"/>
    <n v="0"/>
  </r>
  <r>
    <n v="20138"/>
    <x v="28"/>
    <x v="0"/>
    <x v="1"/>
    <x v="10"/>
    <x v="0"/>
    <x v="0"/>
    <n v="18"/>
    <n v="169.23"/>
    <n v="3046"/>
    <s v="£ 3,046"/>
    <s v=""/>
    <x v="0"/>
    <x v="0"/>
    <n v="169.23"/>
    <n v="3046.14"/>
    <n v="0"/>
    <n v="3046.14"/>
    <s v="False"/>
    <n v="0"/>
  </r>
  <r>
    <n v="20139"/>
    <x v="51"/>
    <x v="4"/>
    <x v="12"/>
    <x v="5"/>
    <x v="0"/>
    <x v="1"/>
    <n v="5"/>
    <n v="798.98"/>
    <n v="3195.93"/>
    <s v="£3,195.93"/>
    <s v="BULK20"/>
    <x v="1"/>
    <x v="0"/>
    <n v="798.98"/>
    <n v="3195.92"/>
    <n v="0.2"/>
    <n v="3195.92"/>
    <s v="False"/>
    <n v="0"/>
  </r>
  <r>
    <n v="20140"/>
    <x v="69"/>
    <x v="2"/>
    <x v="3"/>
    <x v="9"/>
    <x v="1"/>
    <x v="4"/>
    <n v="11"/>
    <n v="255.01"/>
    <n v="2805"/>
    <s v="£ 2,805"/>
    <s v=""/>
    <x v="0"/>
    <x v="0"/>
    <n v="255.01"/>
    <n v="2805.1099999999997"/>
    <n v="0"/>
    <n v="2805.1099999999997"/>
    <s v="False"/>
    <n v="0"/>
  </r>
  <r>
    <n v="20141"/>
    <x v="9"/>
    <x v="2"/>
    <x v="10"/>
    <x v="10"/>
    <x v="0"/>
    <x v="4"/>
    <n v="14"/>
    <n v="166.68"/>
    <n v="2334"/>
    <s v="£ 2,334"/>
    <s v=""/>
    <x v="1"/>
    <x v="0"/>
    <n v="166.68"/>
    <n v="2333.52"/>
    <n v="0"/>
    <n v="2333.52"/>
    <s v="False"/>
    <n v="0"/>
  </r>
  <r>
    <n v="20142"/>
    <x v="70"/>
    <x v="5"/>
    <x v="8"/>
    <x v="7"/>
    <x v="0"/>
    <x v="0"/>
    <n v="13"/>
    <n v="69.98"/>
    <n v="773.32"/>
    <s v="£773.32"/>
    <s v="WELCOME15"/>
    <x v="1"/>
    <x v="0"/>
    <n v="69.98"/>
    <n v="773.279"/>
    <n v="0.15"/>
    <n v="773.279"/>
    <s v="False"/>
    <n v="0"/>
  </r>
  <r>
    <n v="20143"/>
    <x v="38"/>
    <x v="4"/>
    <x v="12"/>
    <x v="7"/>
    <x v="0"/>
    <x v="1"/>
    <n v="17"/>
    <n v="63.37"/>
    <n v="1077.3699999999999"/>
    <s v="£1,077.37"/>
    <s v=""/>
    <x v="0"/>
    <x v="0"/>
    <n v="63.37"/>
    <n v="1077.29"/>
    <n v="0"/>
    <n v="1077.29"/>
    <s v="False"/>
    <n v="0"/>
  </r>
  <r>
    <n v="20144"/>
    <x v="71"/>
    <x v="3"/>
    <x v="4"/>
    <x v="2"/>
    <x v="1"/>
    <x v="4"/>
    <n v="25"/>
    <n v="405.86"/>
    <n v="10147"/>
    <s v="£ 10,147"/>
    <s v=""/>
    <x v="1"/>
    <x v="0"/>
    <n v="405.86"/>
    <n v="10146.5"/>
    <n v="0"/>
    <n v="10146.5"/>
    <s v="False"/>
    <n v="0"/>
  </r>
  <r>
    <n v="20145"/>
    <x v="30"/>
    <x v="5"/>
    <x v="9"/>
    <x v="7"/>
    <x v="0"/>
    <x v="1"/>
    <n v="10"/>
    <n v="62"/>
    <n v="559.44000000000005"/>
    <s v="£559.44"/>
    <s v="SAVE10"/>
    <x v="0"/>
    <x v="0"/>
    <n v="62"/>
    <n v="558"/>
    <n v="0.1"/>
    <n v="558"/>
    <s v="True"/>
    <n v="0"/>
  </r>
  <r>
    <n v="20146"/>
    <x v="44"/>
    <x v="0"/>
    <x v="13"/>
    <x v="7"/>
    <x v="0"/>
    <x v="4"/>
    <n v="7"/>
    <n v="70.25"/>
    <n v="491.72"/>
    <s v="491.72"/>
    <s v=""/>
    <x v="0"/>
    <x v="0"/>
    <n v="70.25"/>
    <n v="491.75"/>
    <n v="0"/>
    <n v="491.75"/>
    <s v="False"/>
    <n v="0"/>
  </r>
  <r>
    <n v="20147"/>
    <x v="72"/>
    <x v="0"/>
    <x v="13"/>
    <x v="1"/>
    <x v="1"/>
    <x v="4"/>
    <n v="22"/>
    <n v="109.68"/>
    <n v="2412.86"/>
    <s v="£2,412.86"/>
    <s v=""/>
    <x v="1"/>
    <x v="0"/>
    <n v="109.68"/>
    <n v="2412.96"/>
    <n v="0"/>
    <n v="2412.96"/>
    <s v="False"/>
    <n v="0"/>
  </r>
  <r>
    <n v="20148"/>
    <x v="43"/>
    <x v="2"/>
    <x v="3"/>
    <x v="6"/>
    <x v="1"/>
    <x v="3"/>
    <n v="16"/>
    <n v="32.729999999999997"/>
    <n v="471.32"/>
    <s v="471.32"/>
    <s v="SAVE10"/>
    <x v="0"/>
    <x v="0"/>
    <n v="32.729999999999997"/>
    <n v="471.31199999999995"/>
    <n v="0.1"/>
    <n v="471.31199999999995"/>
    <s v="False"/>
    <n v="0"/>
  </r>
  <r>
    <n v="20149"/>
    <x v="53"/>
    <x v="4"/>
    <x v="5"/>
    <x v="1"/>
    <x v="1"/>
    <x v="1"/>
    <n v="19"/>
    <n v="114.98"/>
    <n v="2184.6999999999998"/>
    <s v="2,184.70"/>
    <s v=""/>
    <x v="0"/>
    <x v="0"/>
    <n v="114.98"/>
    <n v="2184.62"/>
    <n v="0"/>
    <n v="2184.62"/>
    <s v="False"/>
    <n v="0"/>
  </r>
  <r>
    <n v="20150"/>
    <x v="37"/>
    <x v="5"/>
    <x v="9"/>
    <x v="1"/>
    <x v="1"/>
    <x v="2"/>
    <n v="17"/>
    <n v="116.67"/>
    <n v="1685.88"/>
    <s v="1,685.88"/>
    <s v="WELCOME15"/>
    <x v="0"/>
    <x v="0"/>
    <n v="116.67"/>
    <n v="1685.8815"/>
    <n v="0.15"/>
    <n v="1685.8815"/>
    <s v="False"/>
    <n v="0"/>
  </r>
  <r>
    <n v="20151"/>
    <x v="23"/>
    <x v="1"/>
    <x v="6"/>
    <x v="6"/>
    <x v="1"/>
    <x v="2"/>
    <n v="10"/>
    <n v="32.04"/>
    <n v="256.32"/>
    <s v="256.32"/>
    <s v="BULK20"/>
    <x v="1"/>
    <x v="0"/>
    <n v="32.04"/>
    <n v="256.32"/>
    <n v="0.2"/>
    <n v="256.32"/>
    <s v="False"/>
    <n v="0"/>
  </r>
  <r>
    <n v="20152"/>
    <x v="73"/>
    <x v="5"/>
    <x v="8"/>
    <x v="3"/>
    <x v="0"/>
    <x v="5"/>
    <n v="13"/>
    <n v="202.54"/>
    <n v="2106.46"/>
    <s v="£2,106.46"/>
    <s v="BULK20"/>
    <x v="0"/>
    <x v="0"/>
    <n v="202.54"/>
    <n v="2106.4160000000002"/>
    <n v="0.2"/>
    <n v="2106.4160000000002"/>
    <s v="False"/>
    <n v="0"/>
  </r>
  <r>
    <n v="20153"/>
    <x v="36"/>
    <x v="0"/>
    <x v="13"/>
    <x v="3"/>
    <x v="0"/>
    <x v="1"/>
    <n v="17"/>
    <n v="213.06"/>
    <n v="3622.03"/>
    <s v="£3,622.03"/>
    <s v=""/>
    <x v="0"/>
    <x v="0"/>
    <n v="213.06"/>
    <n v="3622.02"/>
    <n v="0"/>
    <n v="3622.02"/>
    <s v="False"/>
    <n v="0"/>
  </r>
  <r>
    <n v="20154"/>
    <x v="36"/>
    <x v="0"/>
    <x v="13"/>
    <x v="1"/>
    <x v="1"/>
    <x v="2"/>
    <n v="19"/>
    <n v="114.11"/>
    <n v="2168.06"/>
    <s v="£2,168.06"/>
    <s v=""/>
    <x v="1"/>
    <x v="0"/>
    <n v="114.11"/>
    <n v="2168.09"/>
    <n v="0"/>
    <n v="2168.09"/>
    <s v="False"/>
    <n v="0"/>
  </r>
  <r>
    <n v="20155"/>
    <x v="10"/>
    <x v="0"/>
    <x v="1"/>
    <x v="11"/>
    <x v="0"/>
    <x v="1"/>
    <n v="12"/>
    <n v="27.46"/>
    <n v="329.51"/>
    <s v="£329.51"/>
    <s v=""/>
    <x v="0"/>
    <x v="0"/>
    <n v="27.46"/>
    <n v="329.52"/>
    <n v="0"/>
    <n v="329.52"/>
    <s v="False"/>
    <n v="0"/>
  </r>
  <r>
    <n v="20156"/>
    <x v="3"/>
    <x v="0"/>
    <x v="1"/>
    <x v="7"/>
    <x v="0"/>
    <x v="3"/>
    <n v="23"/>
    <n v="58.57"/>
    <n v="1279.73"/>
    <s v="1,279.73"/>
    <s v="CLEAR5"/>
    <x v="1"/>
    <x v="1"/>
    <n v="58.57"/>
    <n v="1279.7544999999998"/>
    <n v="0.05"/>
    <n v="1279.7544999999998"/>
    <s v="False"/>
    <n v="1"/>
  </r>
  <r>
    <n v="20157"/>
    <x v="50"/>
    <x v="0"/>
    <x v="1"/>
    <x v="0"/>
    <x v="0"/>
    <x v="0"/>
    <n v="17"/>
    <n v="35.81"/>
    <n v="517.4"/>
    <s v="£517.40"/>
    <s v="WELCOME15"/>
    <x v="0"/>
    <x v="0"/>
    <n v="35.81"/>
    <n v="517.45449999999994"/>
    <n v="0.15"/>
    <n v="517.45449999999994"/>
    <s v="False"/>
    <n v="0"/>
  </r>
  <r>
    <n v="20158"/>
    <x v="72"/>
    <x v="3"/>
    <x v="14"/>
    <x v="6"/>
    <x v="1"/>
    <x v="1"/>
    <n v="19"/>
    <n v="32.25"/>
    <n v="612.66"/>
    <s v="612.66"/>
    <s v=""/>
    <x v="1"/>
    <x v="0"/>
    <n v="32.25"/>
    <n v="612.75"/>
    <n v="0"/>
    <n v="612.75"/>
    <s v="False"/>
    <n v="0"/>
  </r>
  <r>
    <n v="20159"/>
    <x v="74"/>
    <x v="0"/>
    <x v="1"/>
    <x v="4"/>
    <x v="0"/>
    <x v="0"/>
    <n v="8"/>
    <n v="425.69"/>
    <n v="3064.99"/>
    <s v="3,064.99"/>
    <s v="SAVE10"/>
    <x v="0"/>
    <x v="0"/>
    <n v="425.69"/>
    <n v="3064.9679999999998"/>
    <n v="0.1"/>
    <n v="3064.9679999999998"/>
    <s v="False"/>
    <n v="0"/>
  </r>
  <r>
    <n v="20160"/>
    <x v="52"/>
    <x v="3"/>
    <x v="14"/>
    <x v="11"/>
    <x v="0"/>
    <x v="3"/>
    <n v="8"/>
    <n v="24.28"/>
    <n v="165.1"/>
    <s v="165.10"/>
    <s v="WELCOME15 "/>
    <x v="0"/>
    <x v="0"/>
    <n v="24.28"/>
    <n v="165.10400000000001"/>
    <n v="0.15"/>
    <n v="165.10400000000001"/>
    <s v="False"/>
    <n v="0"/>
  </r>
  <r>
    <n v="20161"/>
    <x v="75"/>
    <x v="0"/>
    <x v="0"/>
    <x v="5"/>
    <x v="0"/>
    <x v="0"/>
    <n v="18"/>
    <n v="831.93"/>
    <n v="14974.77"/>
    <s v="£14,974.77"/>
    <s v=""/>
    <x v="1"/>
    <x v="0"/>
    <n v="831.93"/>
    <n v="14974.74"/>
    <n v="0"/>
    <n v="14974.74"/>
    <s v="False"/>
    <n v="0"/>
  </r>
  <r>
    <n v="20162"/>
    <x v="7"/>
    <x v="1"/>
    <x v="6"/>
    <x v="0"/>
    <x v="0"/>
    <x v="5"/>
    <n v="12"/>
    <n v="33.46"/>
    <n v="361"/>
    <s v="£ 361"/>
    <s v="SAVE10"/>
    <x v="0"/>
    <x v="0"/>
    <n v="33.46"/>
    <n v="361.36799999999999"/>
    <n v="0.1"/>
    <n v="361.36799999999999"/>
    <s v="False"/>
    <n v="0"/>
  </r>
  <r>
    <n v="20163"/>
    <x v="52"/>
    <x v="5"/>
    <x v="9"/>
    <x v="11"/>
    <x v="0"/>
    <x v="1"/>
    <n v="25"/>
    <n v="23.32"/>
    <n v="405"/>
    <s v="£ 405"/>
    <s v="SAVE10"/>
    <x v="1"/>
    <x v="0"/>
    <n v="23.32"/>
    <n v="524.70000000000005"/>
    <n v="0.1"/>
    <n v="524.70000000000005"/>
    <s v="False"/>
    <n v="0"/>
  </r>
  <r>
    <n v="20164"/>
    <x v="22"/>
    <x v="3"/>
    <x v="14"/>
    <x v="9"/>
    <x v="1"/>
    <x v="2"/>
    <n v="5"/>
    <n v="288"/>
    <n v="1367.39"/>
    <s v="£1,367.39"/>
    <s v="CLEAR5"/>
    <x v="0"/>
    <x v="0"/>
    <n v="288"/>
    <n v="1368"/>
    <n v="0.05"/>
    <n v="1368"/>
    <s v="False"/>
    <n v="0"/>
  </r>
  <r>
    <n v="20165"/>
    <x v="57"/>
    <x v="3"/>
    <x v="14"/>
    <x v="2"/>
    <x v="1"/>
    <x v="2"/>
    <n v="15"/>
    <n v="386.65"/>
    <n v="5219.8100000000004"/>
    <s v="5,219.81"/>
    <s v="SAVE10"/>
    <x v="1"/>
    <x v="0"/>
    <n v="386.65"/>
    <n v="5219.7750000000005"/>
    <n v="0.1"/>
    <n v="5219.7750000000005"/>
    <s v="False"/>
    <n v="0"/>
  </r>
  <r>
    <n v="20166"/>
    <x v="1"/>
    <x v="2"/>
    <x v="3"/>
    <x v="6"/>
    <x v="1"/>
    <x v="1"/>
    <n v="9"/>
    <n v="32"/>
    <n v="292.01"/>
    <s v="£292.01"/>
    <s v=""/>
    <x v="0"/>
    <x v="0"/>
    <n v="32"/>
    <n v="288"/>
    <n v="0"/>
    <n v="288"/>
    <s v="False"/>
    <n v="0"/>
  </r>
  <r>
    <n v="20167"/>
    <x v="51"/>
    <x v="0"/>
    <x v="1"/>
    <x v="11"/>
    <x v="0"/>
    <x v="1"/>
    <n v="16"/>
    <n v="24.89"/>
    <n v="358.35"/>
    <s v="£358.35"/>
    <s v="SAVE10"/>
    <x v="0"/>
    <x v="0"/>
    <n v="24.89"/>
    <n v="358.416"/>
    <n v="0.1"/>
    <n v="358.416"/>
    <s v="False"/>
    <n v="0"/>
  </r>
  <r>
    <n v="20168"/>
    <x v="22"/>
    <x v="5"/>
    <x v="9"/>
    <x v="2"/>
    <x v="1"/>
    <x v="3"/>
    <n v="14"/>
    <n v="393.32"/>
    <n v="4405"/>
    <s v="£ 4,405"/>
    <s v="BULK20"/>
    <x v="1"/>
    <x v="1"/>
    <n v="393.32"/>
    <n v="4405.1840000000002"/>
    <n v="0.2"/>
    <n v="4405.1840000000002"/>
    <s v="False"/>
    <n v="1"/>
  </r>
  <r>
    <n v="20169"/>
    <x v="22"/>
    <x v="1"/>
    <x v="6"/>
    <x v="6"/>
    <x v="1"/>
    <x v="2"/>
    <n v="3"/>
    <n v="38.159999999999997"/>
    <n v="114.48"/>
    <s v="114.48"/>
    <s v=""/>
    <x v="0"/>
    <x v="0"/>
    <n v="38.159999999999997"/>
    <n v="114.47999999999999"/>
    <n v="0"/>
    <n v="114.47999999999999"/>
    <s v="False"/>
    <n v="0"/>
  </r>
  <r>
    <n v="20170"/>
    <x v="39"/>
    <x v="5"/>
    <x v="9"/>
    <x v="9"/>
    <x v="1"/>
    <x v="3"/>
    <n v="11"/>
    <n v="293.7"/>
    <n v="3041.13"/>
    <s v="£3,041.13"/>
    <s v="BULK20"/>
    <x v="1"/>
    <x v="0"/>
    <n v="293.7"/>
    <n v="2584.56"/>
    <n v="0.2"/>
    <n v="2584.56"/>
    <s v="False"/>
    <n v="0"/>
  </r>
  <r>
    <n v="20171"/>
    <x v="39"/>
    <x v="5"/>
    <x v="8"/>
    <x v="5"/>
    <x v="0"/>
    <x v="5"/>
    <n v="18"/>
    <n v="786.39"/>
    <n v="14155.03"/>
    <s v="14,155.03"/>
    <s v=""/>
    <x v="0"/>
    <x v="0"/>
    <n v="786.39"/>
    <n v="14155.02"/>
    <n v="0"/>
    <n v="14155.02"/>
    <s v="False"/>
    <n v="0"/>
  </r>
  <r>
    <n v="20172"/>
    <x v="18"/>
    <x v="5"/>
    <x v="9"/>
    <x v="10"/>
    <x v="0"/>
    <x v="5"/>
    <n v="20"/>
    <n v="181.96"/>
    <n v="2911.4"/>
    <s v="2,911.40"/>
    <s v="BULK20 "/>
    <x v="0"/>
    <x v="0"/>
    <n v="181.96"/>
    <n v="2911.3600000000006"/>
    <n v="0.2"/>
    <n v="2911.3600000000006"/>
    <s v="False"/>
    <n v="0"/>
  </r>
  <r>
    <n v="20173"/>
    <x v="69"/>
    <x v="5"/>
    <x v="9"/>
    <x v="1"/>
    <x v="1"/>
    <x v="5"/>
    <n v="4"/>
    <n v="109.6"/>
    <n v="394.56"/>
    <s v="394.56"/>
    <s v="SAVE10"/>
    <x v="0"/>
    <x v="0"/>
    <n v="109.6"/>
    <n v="394.56"/>
    <n v="0.1"/>
    <n v="394.56"/>
    <s v="False"/>
    <n v="0"/>
  </r>
  <r>
    <n v="20174"/>
    <x v="76"/>
    <x v="3"/>
    <x v="14"/>
    <x v="1"/>
    <x v="1"/>
    <x v="3"/>
    <n v="14"/>
    <n v="127.06"/>
    <n v="1779"/>
    <s v="£ 1,779"/>
    <s v=""/>
    <x v="0"/>
    <x v="0"/>
    <n v="127.06"/>
    <n v="1778.8400000000001"/>
    <n v="0"/>
    <n v="1778.8400000000001"/>
    <s v="False"/>
    <n v="0"/>
  </r>
  <r>
    <n v="20175"/>
    <x v="18"/>
    <x v="3"/>
    <x v="14"/>
    <x v="2"/>
    <x v="1"/>
    <x v="2"/>
    <n v="14"/>
    <n v="392.01"/>
    <n v="4939.3500000000004"/>
    <s v="£4,939.35"/>
    <s v="SAVE10"/>
    <x v="0"/>
    <x v="0"/>
    <n v="392.01"/>
    <n v="4939.326"/>
    <n v="0.1"/>
    <n v="4939.326"/>
    <s v="False"/>
    <n v="0"/>
  </r>
  <r>
    <n v="20176"/>
    <x v="42"/>
    <x v="0"/>
    <x v="13"/>
    <x v="9"/>
    <x v="1"/>
    <x v="0"/>
    <n v="10"/>
    <n v="281"/>
    <n v="2528.88"/>
    <s v="2,528.88"/>
    <s v="SAVE10 "/>
    <x v="0"/>
    <x v="0"/>
    <n v="281"/>
    <n v="2529"/>
    <n v="0.1"/>
    <n v="2529"/>
    <s v="False"/>
    <n v="0"/>
  </r>
  <r>
    <n v="20177"/>
    <x v="47"/>
    <x v="0"/>
    <x v="1"/>
    <x v="4"/>
    <x v="0"/>
    <x v="3"/>
    <n v="7"/>
    <n v="470.12"/>
    <n v="3290.86"/>
    <s v="£3,290.86"/>
    <s v=""/>
    <x v="0"/>
    <x v="0"/>
    <n v="470.12"/>
    <n v="3290.84"/>
    <n v="0"/>
    <n v="3290.84"/>
    <s v="False"/>
    <n v="0"/>
  </r>
  <r>
    <n v="20178"/>
    <x v="60"/>
    <x v="4"/>
    <x v="5"/>
    <x v="2"/>
    <x v="1"/>
    <x v="1"/>
    <n v="10"/>
    <n v="404.82"/>
    <n v="3643.4"/>
    <s v="£3,643.40"/>
    <s v="SAVE10"/>
    <x v="0"/>
    <x v="0"/>
    <n v="404.82"/>
    <n v="3643.38"/>
    <n v="0.1"/>
    <n v="3643.38"/>
    <s v="False"/>
    <n v="0"/>
  </r>
  <r>
    <n v="20179"/>
    <x v="3"/>
    <x v="1"/>
    <x v="2"/>
    <x v="3"/>
    <x v="0"/>
    <x v="1"/>
    <n v="7"/>
    <n v="206.09"/>
    <n v="1298.3699999999999"/>
    <s v="£1,298.37"/>
    <s v="SAVE10"/>
    <x v="0"/>
    <x v="0"/>
    <n v="206.09"/>
    <n v="1298.3670000000002"/>
    <n v="0.1"/>
    <n v="1298.3670000000002"/>
    <s v="False"/>
    <n v="0"/>
  </r>
  <r>
    <n v="20180"/>
    <x v="46"/>
    <x v="3"/>
    <x v="4"/>
    <x v="5"/>
    <x v="0"/>
    <x v="3"/>
    <n v="12"/>
    <n v="784.1"/>
    <n v="9409.24"/>
    <s v="£9,409.24"/>
    <s v=""/>
    <x v="1"/>
    <x v="0"/>
    <n v="784.1"/>
    <n v="9409.2000000000007"/>
    <n v="0"/>
    <n v="9409.2000000000007"/>
    <s v="False"/>
    <n v="0"/>
  </r>
  <r>
    <n v="20181"/>
    <x v="29"/>
    <x v="3"/>
    <x v="14"/>
    <x v="9"/>
    <x v="1"/>
    <x v="5"/>
    <n v="4"/>
    <n v="267.89999999999998"/>
    <n v="1071.6199999999999"/>
    <s v="1,071.62"/>
    <s v=""/>
    <x v="1"/>
    <x v="1"/>
    <n v="267.89999999999998"/>
    <n v="1071.5999999999999"/>
    <n v="0"/>
    <n v="1071.5999999999999"/>
    <s v="False"/>
    <n v="1"/>
  </r>
  <r>
    <n v="20182"/>
    <x v="71"/>
    <x v="1"/>
    <x v="11"/>
    <x v="0"/>
    <x v="0"/>
    <x v="2"/>
    <n v="19"/>
    <n v="35"/>
    <n v="639.05999999999995"/>
    <s v="£639.06"/>
    <s v=""/>
    <x v="1"/>
    <x v="0"/>
    <n v="35"/>
    <n v="665"/>
    <n v="0"/>
    <n v="665"/>
    <s v="False"/>
    <n v="0"/>
  </r>
  <r>
    <n v="20183"/>
    <x v="77"/>
    <x v="1"/>
    <x v="11"/>
    <x v="10"/>
    <x v="0"/>
    <x v="0"/>
    <n v="20"/>
    <n v="186.71"/>
    <n v="2987.44"/>
    <s v="£2,987.44"/>
    <s v="BULK20"/>
    <x v="0"/>
    <x v="0"/>
    <n v="186.71"/>
    <n v="2987.3600000000006"/>
    <n v="0.2"/>
    <n v="2987.3600000000006"/>
    <s v="False"/>
    <n v="0"/>
  </r>
  <r>
    <n v="20184"/>
    <x v="34"/>
    <x v="5"/>
    <x v="9"/>
    <x v="4"/>
    <x v="0"/>
    <x v="0"/>
    <n v="7"/>
    <n v="470.44"/>
    <n v="3128.41"/>
    <s v="£3,128.41"/>
    <s v="CLEAR5"/>
    <x v="1"/>
    <x v="0"/>
    <n v="470.44"/>
    <n v="3128.4259999999999"/>
    <n v="0.05"/>
    <n v="3128.4259999999999"/>
    <s v="False"/>
    <n v="0"/>
  </r>
  <r>
    <n v="20185"/>
    <x v="12"/>
    <x v="0"/>
    <x v="13"/>
    <x v="3"/>
    <x v="0"/>
    <x v="2"/>
    <n v="15"/>
    <n v="199.66"/>
    <n v="2995"/>
    <s v="£ 2,995"/>
    <s v=""/>
    <x v="1"/>
    <x v="1"/>
    <n v="199.66"/>
    <n v="2994.9"/>
    <n v="0"/>
    <n v="2994.9"/>
    <s v="False"/>
    <n v="1"/>
  </r>
  <r>
    <n v="20186"/>
    <x v="71"/>
    <x v="0"/>
    <x v="7"/>
    <x v="8"/>
    <x v="0"/>
    <x v="3"/>
    <n v="21"/>
    <n v="142.63"/>
    <n v="2995"/>
    <s v="£ 2,995"/>
    <s v=""/>
    <x v="1"/>
    <x v="0"/>
    <n v="142.63"/>
    <n v="2995.23"/>
    <n v="0"/>
    <n v="2995.23"/>
    <s v="False"/>
    <n v="0"/>
  </r>
  <r>
    <n v="20187"/>
    <x v="59"/>
    <x v="0"/>
    <x v="13"/>
    <x v="11"/>
    <x v="0"/>
    <x v="5"/>
    <n v="17"/>
    <n v="24.82"/>
    <n v="379.71"/>
    <s v="£379.71"/>
    <s v="SAVE10"/>
    <x v="0"/>
    <x v="0"/>
    <n v="24.82"/>
    <n v="379.74599999999998"/>
    <n v="0.1"/>
    <n v="379.74599999999998"/>
    <s v="False"/>
    <n v="0"/>
  </r>
  <r>
    <n v="20188"/>
    <x v="44"/>
    <x v="0"/>
    <x v="7"/>
    <x v="4"/>
    <x v="0"/>
    <x v="1"/>
    <n v="3"/>
    <n v="439.57"/>
    <n v="1253"/>
    <s v="£ 1,253"/>
    <s v="CLEAR5"/>
    <x v="0"/>
    <x v="0"/>
    <n v="439.57"/>
    <n v="1252.7745"/>
    <n v="0.05"/>
    <n v="1252.7745"/>
    <s v="False"/>
    <n v="0"/>
  </r>
  <r>
    <n v="20189"/>
    <x v="66"/>
    <x v="0"/>
    <x v="0"/>
    <x v="5"/>
    <x v="0"/>
    <x v="1"/>
    <n v="15"/>
    <n v="849.77"/>
    <n v="11471.88"/>
    <s v="11,471.88"/>
    <s v="SAVE10"/>
    <x v="0"/>
    <x v="0"/>
    <n v="849.77"/>
    <n v="11471.895"/>
    <n v="0.1"/>
    <n v="11471.895"/>
    <s v="False"/>
    <n v="0"/>
  </r>
  <r>
    <n v="20190"/>
    <x v="55"/>
    <x v="0"/>
    <x v="1"/>
    <x v="1"/>
    <x v="1"/>
    <x v="5"/>
    <n v="14"/>
    <n v="111.87"/>
    <n v="1566.21"/>
    <s v="1,566.21"/>
    <s v=""/>
    <x v="0"/>
    <x v="0"/>
    <n v="111.87"/>
    <n v="1566.18"/>
    <n v="0"/>
    <n v="1566.18"/>
    <s v="False"/>
    <n v="0"/>
  </r>
  <r>
    <n v="20191"/>
    <x v="28"/>
    <x v="0"/>
    <x v="1"/>
    <x v="7"/>
    <x v="0"/>
    <x v="0"/>
    <n v="7"/>
    <n v="59.92"/>
    <n v="419.45"/>
    <s v="£419.45"/>
    <s v=""/>
    <x v="0"/>
    <x v="0"/>
    <n v="59.92"/>
    <n v="419.44"/>
    <n v="0"/>
    <n v="419.44"/>
    <s v="False"/>
    <n v="0"/>
  </r>
  <r>
    <n v="20192"/>
    <x v="36"/>
    <x v="3"/>
    <x v="4"/>
    <x v="0"/>
    <x v="0"/>
    <x v="0"/>
    <n v="4"/>
    <n v="32.950000000000003"/>
    <n v="105.44"/>
    <s v="£105.44"/>
    <s v="BULK20"/>
    <x v="0"/>
    <x v="0"/>
    <n v="32.950000000000003"/>
    <n v="105.44000000000001"/>
    <n v="0.2"/>
    <n v="105.44000000000001"/>
    <s v="False"/>
    <n v="0"/>
  </r>
  <r>
    <n v="20193"/>
    <x v="53"/>
    <x v="0"/>
    <x v="0"/>
    <x v="1"/>
    <x v="1"/>
    <x v="2"/>
    <n v="16"/>
    <n v="127.13"/>
    <n v="2034.15"/>
    <s v="£2,034.15"/>
    <s v=""/>
    <x v="0"/>
    <x v="0"/>
    <n v="127.13"/>
    <n v="2034.08"/>
    <n v="0"/>
    <n v="2034.08"/>
    <s v="True"/>
    <n v="0"/>
  </r>
  <r>
    <n v="20194"/>
    <x v="78"/>
    <x v="4"/>
    <x v="5"/>
    <x v="3"/>
    <x v="0"/>
    <x v="0"/>
    <n v="13"/>
    <n v="213.7"/>
    <n v="2778"/>
    <s v="£ 2,778"/>
    <s v=""/>
    <x v="0"/>
    <x v="0"/>
    <n v="213.7"/>
    <n v="2778.1"/>
    <n v="0"/>
    <n v="2778.1"/>
    <s v="False"/>
    <n v="0"/>
  </r>
  <r>
    <n v="20195"/>
    <x v="48"/>
    <x v="1"/>
    <x v="11"/>
    <x v="4"/>
    <x v="0"/>
    <x v="1"/>
    <n v="16"/>
    <n v="418.87"/>
    <n v="5361.5"/>
    <s v="5,361.50"/>
    <s v="BULK20"/>
    <x v="0"/>
    <x v="0"/>
    <n v="418.87"/>
    <n v="5361.5360000000001"/>
    <n v="0.2"/>
    <n v="5361.5360000000001"/>
    <s v="False"/>
    <n v="0"/>
  </r>
  <r>
    <n v="20196"/>
    <x v="24"/>
    <x v="0"/>
    <x v="7"/>
    <x v="4"/>
    <x v="0"/>
    <x v="0"/>
    <n v="12"/>
    <n v="462.5"/>
    <n v="5549.96"/>
    <s v="£5,549.96"/>
    <s v=""/>
    <x v="1"/>
    <x v="0"/>
    <n v="462.5"/>
    <n v="5550"/>
    <n v="0"/>
    <n v="5550"/>
    <s v="False"/>
    <n v="0"/>
  </r>
  <r>
    <n v="20197"/>
    <x v="59"/>
    <x v="2"/>
    <x v="10"/>
    <x v="3"/>
    <x v="0"/>
    <x v="1"/>
    <n v="11"/>
    <n v="182.03"/>
    <n v="1902.2"/>
    <s v="1,902.20"/>
    <s v="CLEAR5"/>
    <x v="0"/>
    <x v="0"/>
    <n v="182.03"/>
    <n v="1902.2134999999998"/>
    <n v="0.05"/>
    <n v="1902.2134999999998"/>
    <s v="False"/>
    <n v="0"/>
  </r>
  <r>
    <n v="20198"/>
    <x v="79"/>
    <x v="3"/>
    <x v="14"/>
    <x v="6"/>
    <x v="1"/>
    <x v="2"/>
    <n v="15"/>
    <n v="38.130000000000003"/>
    <n v="457.59"/>
    <s v="£457.59"/>
    <s v="BULK20"/>
    <x v="0"/>
    <x v="0"/>
    <n v="38.130000000000003"/>
    <n v="457.56000000000006"/>
    <n v="0.2"/>
    <n v="457.56000000000006"/>
    <s v="False"/>
    <n v="0"/>
  </r>
  <r>
    <n v="20199"/>
    <x v="80"/>
    <x v="3"/>
    <x v="4"/>
    <x v="7"/>
    <x v="0"/>
    <x v="4"/>
    <n v="18"/>
    <n v="66.180000000000007"/>
    <n v="1191.19"/>
    <s v="1,191.19"/>
    <s v=""/>
    <x v="0"/>
    <x v="0"/>
    <n v="66.180000000000007"/>
    <n v="1191.2400000000002"/>
    <n v="0"/>
    <n v="1191.2400000000002"/>
    <s v="False"/>
    <n v="0"/>
  </r>
  <r>
    <n v="20200"/>
    <x v="62"/>
    <x v="3"/>
    <x v="4"/>
    <x v="1"/>
    <x v="1"/>
    <x v="4"/>
    <n v="15"/>
    <n v="109.67"/>
    <n v="1563"/>
    <s v="£ 1,563"/>
    <s v="CLEAR5"/>
    <x v="1"/>
    <x v="1"/>
    <n v="109.67"/>
    <n v="1562.7974999999999"/>
    <n v="0.05"/>
    <n v="1562.7974999999999"/>
    <s v="False"/>
    <n v="1"/>
  </r>
  <r>
    <n v="20201"/>
    <x v="28"/>
    <x v="2"/>
    <x v="3"/>
    <x v="8"/>
    <x v="0"/>
    <x v="2"/>
    <n v="14"/>
    <n v="152"/>
    <n v="2122.73"/>
    <s v="£2,122.73"/>
    <s v=""/>
    <x v="0"/>
    <x v="0"/>
    <n v="152"/>
    <n v="2128"/>
    <n v="0"/>
    <n v="2128"/>
    <s v="False"/>
    <n v="0"/>
  </r>
  <r>
    <n v="20202"/>
    <x v="17"/>
    <x v="1"/>
    <x v="2"/>
    <x v="9"/>
    <x v="1"/>
    <x v="0"/>
    <n v="7"/>
    <n v="278.58999999999997"/>
    <e v="#VALUE!"/>
    <m/>
    <s v=""/>
    <x v="0"/>
    <x v="0"/>
    <n v="278.58999999999997"/>
    <n v="1950.1299999999999"/>
    <n v="0"/>
    <n v="1950.1299999999999"/>
    <s v="False"/>
    <n v="0"/>
  </r>
  <r>
    <n v="20203"/>
    <x v="5"/>
    <x v="4"/>
    <x v="5"/>
    <x v="6"/>
    <x v="1"/>
    <x v="2"/>
    <n v="15"/>
    <n v="32.799999999999997"/>
    <n v="442.81"/>
    <s v="£442.81"/>
    <s v="SAVE10"/>
    <x v="1"/>
    <x v="0"/>
    <n v="32.799999999999997"/>
    <n v="442.79999999999995"/>
    <n v="0.1"/>
    <n v="442.79999999999995"/>
    <s v="False"/>
    <n v="0"/>
  </r>
  <r>
    <n v="20204"/>
    <x v="52"/>
    <x v="3"/>
    <x v="14"/>
    <x v="7"/>
    <x v="0"/>
    <x v="2"/>
    <n v="16"/>
    <n v="67.13"/>
    <e v="#VALUE!"/>
    <m/>
    <s v=""/>
    <x v="0"/>
    <x v="0"/>
    <n v="67.13"/>
    <n v="1074.08"/>
    <n v="0"/>
    <n v="1074.08"/>
    <s v="False"/>
    <n v="0"/>
  </r>
  <r>
    <n v="20205"/>
    <x v="69"/>
    <x v="0"/>
    <x v="1"/>
    <x v="10"/>
    <x v="0"/>
    <x v="2"/>
    <n v="16"/>
    <n v="182.62"/>
    <n v="2629.77"/>
    <s v="£2,629.77"/>
    <s v="SAVE10"/>
    <x v="0"/>
    <x v="0"/>
    <n v="182.62"/>
    <n v="2629.7280000000001"/>
    <n v="0.1"/>
    <n v="2629.7280000000001"/>
    <s v="False"/>
    <n v="0"/>
  </r>
  <r>
    <n v="20206"/>
    <x v="19"/>
    <x v="0"/>
    <x v="13"/>
    <x v="3"/>
    <x v="0"/>
    <x v="5"/>
    <n v="11"/>
    <n v="218.69"/>
    <n v="2405.63"/>
    <s v="£2,405.63"/>
    <s v=""/>
    <x v="0"/>
    <x v="0"/>
    <n v="218.69"/>
    <n v="2405.59"/>
    <n v="0"/>
    <n v="2405.59"/>
    <s v="False"/>
    <n v="0"/>
  </r>
  <r>
    <n v="20207"/>
    <x v="26"/>
    <x v="1"/>
    <x v="6"/>
    <x v="10"/>
    <x v="0"/>
    <x v="1"/>
    <n v="25"/>
    <n v="176.04"/>
    <n v="3520.85"/>
    <s v="3,520.85"/>
    <s v="BULK20"/>
    <x v="1"/>
    <x v="0"/>
    <n v="176.04"/>
    <n v="3520.8"/>
    <n v="0.2"/>
    <n v="3520.8"/>
    <s v="False"/>
    <n v="0"/>
  </r>
  <r>
    <n v="20208"/>
    <x v="50"/>
    <x v="1"/>
    <x v="2"/>
    <x v="2"/>
    <x v="1"/>
    <x v="0"/>
    <n v="11"/>
    <n v="420"/>
    <n v="4568.16"/>
    <s v="£4,568.16"/>
    <s v="SAVE10"/>
    <x v="0"/>
    <x v="0"/>
    <n v="420"/>
    <n v="4158"/>
    <n v="0.1"/>
    <n v="4158"/>
    <s v="False"/>
    <n v="0"/>
  </r>
  <r>
    <n v="20209"/>
    <x v="18"/>
    <x v="2"/>
    <x v="10"/>
    <x v="8"/>
    <x v="0"/>
    <x v="5"/>
    <n v="19"/>
    <n v="131.16999999999999"/>
    <n v="2492"/>
    <s v="£ 2,492"/>
    <s v=""/>
    <x v="0"/>
    <x v="0"/>
    <n v="131.16999999999999"/>
    <n v="2492.2299999999996"/>
    <n v="0"/>
    <n v="2492.2299999999996"/>
    <s v="False"/>
    <n v="0"/>
  </r>
  <r>
    <n v="20210"/>
    <x v="61"/>
    <x v="1"/>
    <x v="6"/>
    <x v="11"/>
    <x v="0"/>
    <x v="3"/>
    <n v="7"/>
    <n v="23.39"/>
    <n v="147.37"/>
    <s v="£147.37"/>
    <s v="SAVE10"/>
    <x v="0"/>
    <x v="0"/>
    <n v="23.39"/>
    <n v="147.35700000000003"/>
    <n v="0.1"/>
    <n v="147.35700000000003"/>
    <s v="True"/>
    <n v="0"/>
  </r>
  <r>
    <n v="20211"/>
    <x v="38"/>
    <x v="0"/>
    <x v="13"/>
    <x v="8"/>
    <x v="0"/>
    <x v="3"/>
    <n v="16"/>
    <n v="137.31"/>
    <n v="1977.26"/>
    <s v="£1,977.26"/>
    <s v="SAVE10"/>
    <x v="0"/>
    <x v="0"/>
    <n v="137.31"/>
    <n v="1977.2640000000001"/>
    <n v="0.1"/>
    <n v="1977.2640000000001"/>
    <s v="False"/>
    <n v="0"/>
  </r>
  <r>
    <n v="20212"/>
    <x v="80"/>
    <x v="3"/>
    <x v="14"/>
    <x v="3"/>
    <x v="0"/>
    <x v="4"/>
    <n v="15"/>
    <n v="215.86"/>
    <n v="3237.88"/>
    <s v="£3,237.88"/>
    <s v=""/>
    <x v="1"/>
    <x v="0"/>
    <n v="215.86"/>
    <n v="3237.9"/>
    <n v="0"/>
    <n v="3237.9"/>
    <s v="False"/>
    <n v="0"/>
  </r>
  <r>
    <n v="20213"/>
    <x v="72"/>
    <x v="0"/>
    <x v="7"/>
    <x v="1"/>
    <x v="1"/>
    <x v="4"/>
    <n v="23"/>
    <n v="124.02"/>
    <e v="#VALUE!"/>
    <m/>
    <s v="SAVE10"/>
    <x v="1"/>
    <x v="1"/>
    <n v="124.02"/>
    <n v="2567.2139999999999"/>
    <n v="0.1"/>
    <n v="2567.2139999999999"/>
    <s v="False"/>
    <n v="1"/>
  </r>
  <r>
    <n v="20214"/>
    <x v="74"/>
    <x v="0"/>
    <x v="0"/>
    <x v="8"/>
    <x v="0"/>
    <x v="0"/>
    <n v="4"/>
    <n v="148.38"/>
    <n v="593.51"/>
    <s v="£593.51"/>
    <s v=""/>
    <x v="0"/>
    <x v="0"/>
    <n v="148.38"/>
    <n v="593.52"/>
    <n v="0"/>
    <n v="593.52"/>
    <s v="False"/>
    <n v="0"/>
  </r>
  <r>
    <n v="20215"/>
    <x v="6"/>
    <x v="1"/>
    <x v="2"/>
    <x v="3"/>
    <x v="0"/>
    <x v="4"/>
    <n v="23"/>
    <n v="200"/>
    <n v="4703"/>
    <s v="£ 4,703"/>
    <s v=""/>
    <x v="1"/>
    <x v="1"/>
    <n v="200"/>
    <n v="4600"/>
    <n v="0"/>
    <n v="4600"/>
    <s v="False"/>
    <n v="1"/>
  </r>
  <r>
    <n v="20216"/>
    <x v="68"/>
    <x v="4"/>
    <x v="5"/>
    <x v="10"/>
    <x v="0"/>
    <x v="1"/>
    <n v="10"/>
    <n v="182.08"/>
    <n v="1820.78"/>
    <s v="£1,820.78"/>
    <s v=""/>
    <x v="1"/>
    <x v="0"/>
    <n v="182.08"/>
    <n v="1820.8000000000002"/>
    <n v="0"/>
    <n v="1820.8000000000002"/>
    <s v="False"/>
    <n v="0"/>
  </r>
  <r>
    <n v="20217"/>
    <x v="56"/>
    <x v="2"/>
    <x v="10"/>
    <x v="2"/>
    <x v="1"/>
    <x v="3"/>
    <n v="17"/>
    <n v="381.64"/>
    <n v="6487.86"/>
    <s v="£6,487.86"/>
    <s v=""/>
    <x v="1"/>
    <x v="0"/>
    <n v="381.64"/>
    <n v="6487.88"/>
    <n v="0"/>
    <n v="6487.88"/>
    <s v="False"/>
    <n v="0"/>
  </r>
  <r>
    <n v="20218"/>
    <x v="65"/>
    <x v="1"/>
    <x v="6"/>
    <x v="0"/>
    <x v="0"/>
    <x v="4"/>
    <n v="2"/>
    <n v="33"/>
    <n v="58.53"/>
    <s v="£58.53"/>
    <s v="SAVE10"/>
    <x v="0"/>
    <x v="0"/>
    <n v="33"/>
    <n v="59.4"/>
    <n v="0.1"/>
    <n v="59.4"/>
    <s v="False"/>
    <n v="0"/>
  </r>
  <r>
    <n v="20219"/>
    <x v="36"/>
    <x v="0"/>
    <x v="0"/>
    <x v="8"/>
    <x v="0"/>
    <x v="2"/>
    <n v="19"/>
    <n v="140"/>
    <n v="2123.41"/>
    <s v="£2,123.41"/>
    <s v="BULK20"/>
    <x v="1"/>
    <x v="0"/>
    <n v="140"/>
    <n v="2128"/>
    <n v="0.2"/>
    <n v="2128"/>
    <s v="False"/>
    <n v="0"/>
  </r>
  <r>
    <n v="20220"/>
    <x v="0"/>
    <x v="0"/>
    <x v="13"/>
    <x v="6"/>
    <x v="1"/>
    <x v="4"/>
    <n v="4"/>
    <n v="35"/>
    <n v="132.72999999999999"/>
    <s v="£132.73"/>
    <s v=""/>
    <x v="0"/>
    <x v="0"/>
    <n v="35"/>
    <n v="140"/>
    <n v="0"/>
    <n v="140"/>
    <s v="False"/>
    <n v="0"/>
  </r>
  <r>
    <n v="20221"/>
    <x v="56"/>
    <x v="3"/>
    <x v="14"/>
    <x v="1"/>
    <x v="1"/>
    <x v="4"/>
    <n v="1"/>
    <n v="110"/>
    <n v="104.21"/>
    <s v="104.21"/>
    <s v="CLEAR5"/>
    <x v="0"/>
    <x v="0"/>
    <n v="110"/>
    <n v="104.5"/>
    <n v="0.05"/>
    <n v="104.5"/>
    <s v="False"/>
    <n v="0"/>
  </r>
  <r>
    <n v="20222"/>
    <x v="27"/>
    <x v="1"/>
    <x v="2"/>
    <x v="7"/>
    <x v="0"/>
    <x v="4"/>
    <n v="13"/>
    <n v="61.6"/>
    <n v="800.83"/>
    <s v="800.83"/>
    <s v=""/>
    <x v="1"/>
    <x v="0"/>
    <n v="61.6"/>
    <n v="800.80000000000007"/>
    <n v="0"/>
    <n v="800.80000000000007"/>
    <s v="False"/>
    <n v="0"/>
  </r>
  <r>
    <n v="20223"/>
    <x v="80"/>
    <x v="3"/>
    <x v="4"/>
    <x v="6"/>
    <x v="1"/>
    <x v="4"/>
    <n v="17"/>
    <n v="32.11"/>
    <n v="491"/>
    <s v="£ 491"/>
    <s v="SAVE10"/>
    <x v="1"/>
    <x v="0"/>
    <n v="32.11"/>
    <n v="491.28300000000002"/>
    <n v="0.1"/>
    <n v="491.28300000000002"/>
    <s v="False"/>
    <n v="0"/>
  </r>
  <r>
    <n v="20224"/>
    <x v="57"/>
    <x v="0"/>
    <x v="0"/>
    <x v="7"/>
    <x v="0"/>
    <x v="1"/>
    <n v="11"/>
    <n v="68.73"/>
    <n v="756.02"/>
    <s v="£756.02"/>
    <s v=""/>
    <x v="0"/>
    <x v="0"/>
    <n v="68.73"/>
    <n v="756.03000000000009"/>
    <n v="0"/>
    <n v="756.03000000000009"/>
    <s v="False"/>
    <n v="0"/>
  </r>
  <r>
    <n v="20225"/>
    <x v="81"/>
    <x v="0"/>
    <x v="1"/>
    <x v="3"/>
    <x v="0"/>
    <x v="2"/>
    <n v="6"/>
    <n v="181.65"/>
    <n v="980.89"/>
    <s v="£980.89"/>
    <s v="SAVE10 "/>
    <x v="1"/>
    <x v="0"/>
    <n v="181.65"/>
    <n v="980.91000000000008"/>
    <n v="0.1"/>
    <n v="980.91000000000008"/>
    <s v="False"/>
    <n v="0"/>
  </r>
  <r>
    <n v="20226"/>
    <x v="82"/>
    <x v="0"/>
    <x v="1"/>
    <x v="2"/>
    <x v="1"/>
    <x v="2"/>
    <n v="10"/>
    <n v="441"/>
    <n v="4413.5"/>
    <s v="4,413.50"/>
    <s v=""/>
    <x v="0"/>
    <x v="0"/>
    <n v="441"/>
    <n v="4410"/>
    <n v="0"/>
    <n v="4410"/>
    <s v="False"/>
    <n v="0"/>
  </r>
  <r>
    <n v="20227"/>
    <x v="78"/>
    <x v="0"/>
    <x v="0"/>
    <x v="11"/>
    <x v="0"/>
    <x v="3"/>
    <n v="15"/>
    <n v="27"/>
    <n v="409"/>
    <s v="£ 409"/>
    <s v=""/>
    <x v="0"/>
    <x v="0"/>
    <n v="27"/>
    <n v="405"/>
    <n v="0"/>
    <n v="405"/>
    <s v="False"/>
    <n v="0"/>
  </r>
  <r>
    <n v="20228"/>
    <x v="15"/>
    <x v="0"/>
    <x v="13"/>
    <x v="6"/>
    <x v="1"/>
    <x v="1"/>
    <n v="14"/>
    <n v="34.4"/>
    <n v="385.27"/>
    <s v="385.27"/>
    <s v="BULK20"/>
    <x v="0"/>
    <x v="0"/>
    <n v="34.4"/>
    <n v="385.28"/>
    <n v="0.2"/>
    <n v="385.28"/>
    <s v="False"/>
    <n v="0"/>
  </r>
  <r>
    <n v="20229"/>
    <x v="72"/>
    <x v="1"/>
    <x v="11"/>
    <x v="11"/>
    <x v="0"/>
    <x v="3"/>
    <n v="18"/>
    <n v="23.62"/>
    <n v="425.21"/>
    <s v="425.21"/>
    <s v=""/>
    <x v="0"/>
    <x v="0"/>
    <n v="23.62"/>
    <n v="425.16"/>
    <n v="0"/>
    <n v="425.16"/>
    <s v="False"/>
    <n v="0"/>
  </r>
  <r>
    <n v="20230"/>
    <x v="29"/>
    <x v="3"/>
    <x v="4"/>
    <x v="11"/>
    <x v="0"/>
    <x v="2"/>
    <n v="21"/>
    <n v="22.59"/>
    <n v="474.34"/>
    <s v="£474.34"/>
    <s v=""/>
    <x v="1"/>
    <x v="0"/>
    <n v="22.59"/>
    <n v="474.39"/>
    <n v="0"/>
    <n v="474.39"/>
    <s v="False"/>
    <n v="0"/>
  </r>
  <r>
    <n v="20231"/>
    <x v="15"/>
    <x v="0"/>
    <x v="0"/>
    <x v="7"/>
    <x v="0"/>
    <x v="2"/>
    <n v="25"/>
    <n v="67.45"/>
    <n v="1518"/>
    <s v="£ 1,518"/>
    <s v="SAVE10"/>
    <x v="1"/>
    <x v="0"/>
    <n v="67.45"/>
    <n v="1517.625"/>
    <n v="0.1"/>
    <n v="1517.625"/>
    <s v="False"/>
    <n v="0"/>
  </r>
  <r>
    <n v="20232"/>
    <x v="45"/>
    <x v="0"/>
    <x v="1"/>
    <x v="10"/>
    <x v="0"/>
    <x v="2"/>
    <n v="20"/>
    <n v="196.92"/>
    <n v="3544.63"/>
    <s v="£3,544.63"/>
    <s v="SAVE10"/>
    <x v="0"/>
    <x v="0"/>
    <n v="196.92"/>
    <n v="3544.56"/>
    <n v="0.1"/>
    <n v="3544.56"/>
    <s v="False"/>
    <n v="0"/>
  </r>
  <r>
    <n v="20233"/>
    <x v="28"/>
    <x v="3"/>
    <x v="4"/>
    <x v="4"/>
    <x v="0"/>
    <x v="2"/>
    <n v="10"/>
    <n v="472.91"/>
    <n v="4729.1000000000004"/>
    <s v="£4,729.10"/>
    <s v=""/>
    <x v="0"/>
    <x v="0"/>
    <n v="472.91"/>
    <n v="4729.1000000000004"/>
    <n v="0"/>
    <n v="4729.1000000000004"/>
    <s v="False"/>
    <n v="0"/>
  </r>
  <r>
    <n v="20234"/>
    <x v="55"/>
    <x v="0"/>
    <x v="7"/>
    <x v="7"/>
    <x v="0"/>
    <x v="0"/>
    <n v="20"/>
    <n v="58.56"/>
    <n v="1171.1300000000001"/>
    <s v="£1,171.13"/>
    <s v=""/>
    <x v="1"/>
    <x v="0"/>
    <n v="58.56"/>
    <n v="1171.2"/>
    <n v="0"/>
    <n v="1171.2"/>
    <s v="False"/>
    <n v="0"/>
  </r>
  <r>
    <n v="20235"/>
    <x v="6"/>
    <x v="0"/>
    <x v="0"/>
    <x v="6"/>
    <x v="1"/>
    <x v="5"/>
    <n v="18"/>
    <n v="32.08"/>
    <n v="577.36"/>
    <s v="£577.36"/>
    <s v=""/>
    <x v="0"/>
    <x v="0"/>
    <n v="32.08"/>
    <n v="577.43999999999994"/>
    <n v="0"/>
    <n v="577.43999999999994"/>
    <s v="False"/>
    <n v="0"/>
  </r>
  <r>
    <n v="20236"/>
    <x v="30"/>
    <x v="1"/>
    <x v="11"/>
    <x v="3"/>
    <x v="0"/>
    <x v="5"/>
    <n v="4"/>
    <n v="215.7"/>
    <n v="776.51"/>
    <s v="776.51"/>
    <s v="SAVE10"/>
    <x v="0"/>
    <x v="0"/>
    <n v="215.7"/>
    <n v="776.52"/>
    <n v="0.1"/>
    <n v="776.52"/>
    <s v="False"/>
    <n v="0"/>
  </r>
  <r>
    <n v="20237"/>
    <x v="83"/>
    <x v="5"/>
    <x v="9"/>
    <x v="4"/>
    <x v="0"/>
    <x v="5"/>
    <n v="8"/>
    <n v="417.11"/>
    <n v="3336.92"/>
    <s v="3,336.92"/>
    <s v=""/>
    <x v="0"/>
    <x v="0"/>
    <n v="417.11"/>
    <n v="3336.88"/>
    <n v="0"/>
    <n v="3336.88"/>
    <s v="False"/>
    <n v="0"/>
  </r>
  <r>
    <n v="20238"/>
    <x v="53"/>
    <x v="0"/>
    <x v="7"/>
    <x v="5"/>
    <x v="0"/>
    <x v="0"/>
    <n v="13"/>
    <n v="909.99"/>
    <n v="11829.85"/>
    <s v="£11,829.85"/>
    <s v=""/>
    <x v="1"/>
    <x v="0"/>
    <n v="909.99"/>
    <n v="11829.87"/>
    <n v="0"/>
    <n v="11829.87"/>
    <s v="False"/>
    <n v="0"/>
  </r>
  <r>
    <n v="20239"/>
    <x v="83"/>
    <x v="3"/>
    <x v="4"/>
    <x v="11"/>
    <x v="0"/>
    <x v="0"/>
    <n v="20"/>
    <n v="26.33"/>
    <n v="473.98"/>
    <s v="£473.98"/>
    <s v="SAVE10"/>
    <x v="0"/>
    <x v="0"/>
    <n v="26.33"/>
    <n v="473.93999999999994"/>
    <n v="0.1"/>
    <n v="473.93999999999994"/>
    <s v="False"/>
    <n v="0"/>
  </r>
  <r>
    <n v="20240"/>
    <x v="56"/>
    <x v="0"/>
    <x v="7"/>
    <x v="1"/>
    <x v="1"/>
    <x v="2"/>
    <n v="2"/>
    <n v="128.72"/>
    <n v="257.44"/>
    <s v="£257.44"/>
    <s v=""/>
    <x v="0"/>
    <x v="0"/>
    <n v="128.72"/>
    <n v="257.44"/>
    <n v="0"/>
    <n v="257.44"/>
    <s v="False"/>
    <n v="0"/>
  </r>
  <r>
    <n v="20241"/>
    <x v="66"/>
    <x v="5"/>
    <x v="9"/>
    <x v="0"/>
    <x v="0"/>
    <x v="1"/>
    <n v="3"/>
    <n v="35.25"/>
    <n v="100.46"/>
    <s v="£100.46"/>
    <s v="CLEAR5"/>
    <x v="0"/>
    <x v="1"/>
    <n v="35.25"/>
    <n v="100.46249999999999"/>
    <n v="0.05"/>
    <n v="100.46249999999999"/>
    <s v="False"/>
    <n v="1"/>
  </r>
  <r>
    <n v="20242"/>
    <x v="53"/>
    <x v="1"/>
    <x v="11"/>
    <x v="9"/>
    <x v="1"/>
    <x v="5"/>
    <n v="15"/>
    <n v="283"/>
    <n v="3815.96"/>
    <s v="£3,815.96"/>
    <s v="SAVE10"/>
    <x v="0"/>
    <x v="0"/>
    <n v="283"/>
    <n v="3820.5"/>
    <n v="0.1"/>
    <n v="3820.5"/>
    <s v="False"/>
    <n v="0"/>
  </r>
  <r>
    <n v="20243"/>
    <x v="15"/>
    <x v="2"/>
    <x v="3"/>
    <x v="9"/>
    <x v="1"/>
    <x v="4"/>
    <n v="3"/>
    <n v="299.37"/>
    <n v="898.12"/>
    <s v="£898.12"/>
    <s v=""/>
    <x v="0"/>
    <x v="0"/>
    <n v="299.37"/>
    <n v="898.11"/>
    <n v="0"/>
    <n v="898.11"/>
    <s v="False"/>
    <n v="0"/>
  </r>
  <r>
    <n v="20244"/>
    <x v="33"/>
    <x v="0"/>
    <x v="0"/>
    <x v="2"/>
    <x v="1"/>
    <x v="3"/>
    <n v="16"/>
    <n v="383"/>
    <n v="5510.12"/>
    <s v="£5,510.12"/>
    <s v="SAVE10"/>
    <x v="0"/>
    <x v="0"/>
    <n v="383"/>
    <n v="5515.2"/>
    <n v="0.1"/>
    <n v="5515.2"/>
    <s v="False"/>
    <n v="0"/>
  </r>
  <r>
    <n v="20245"/>
    <x v="8"/>
    <x v="0"/>
    <x v="0"/>
    <x v="8"/>
    <x v="0"/>
    <x v="5"/>
    <n v="11"/>
    <n v="146.63999999999999"/>
    <n v="1451.76"/>
    <s v="£1,451.76"/>
    <s v="SAVE10"/>
    <x v="0"/>
    <x v="0"/>
    <n v="146.63999999999999"/>
    <n v="1451.7360000000001"/>
    <n v="0.1"/>
    <n v="1451.7360000000001"/>
    <s v="False"/>
    <n v="0"/>
  </r>
  <r>
    <n v="20246"/>
    <x v="25"/>
    <x v="0"/>
    <x v="1"/>
    <x v="11"/>
    <x v="0"/>
    <x v="0"/>
    <n v="24"/>
    <n v="26.49"/>
    <n v="508.7"/>
    <s v="£508.70"/>
    <s v="BULK20"/>
    <x v="1"/>
    <x v="0"/>
    <n v="26.49"/>
    <n v="508.608"/>
    <n v="0.2"/>
    <n v="508.608"/>
    <s v="False"/>
    <n v="0"/>
  </r>
  <r>
    <n v="20247"/>
    <x v="33"/>
    <x v="3"/>
    <x v="4"/>
    <x v="2"/>
    <x v="1"/>
    <x v="2"/>
    <n v="14"/>
    <n v="401.02"/>
    <n v="5614.27"/>
    <s v="5,614.27"/>
    <s v=""/>
    <x v="0"/>
    <x v="0"/>
    <n v="401.02"/>
    <n v="5614.28"/>
    <n v="0"/>
    <n v="5614.28"/>
    <s v="False"/>
    <n v="0"/>
  </r>
  <r>
    <n v="20248"/>
    <x v="49"/>
    <x v="1"/>
    <x v="11"/>
    <x v="2"/>
    <x v="1"/>
    <x v="0"/>
    <n v="9"/>
    <n v="430.78"/>
    <n v="3876.99"/>
    <s v="3,876.99"/>
    <s v=""/>
    <x v="1"/>
    <x v="0"/>
    <n v="430.78"/>
    <n v="3877.0199999999995"/>
    <n v="0"/>
    <n v="3877.0199999999995"/>
    <s v="False"/>
    <n v="0"/>
  </r>
  <r>
    <n v="20249"/>
    <x v="53"/>
    <x v="0"/>
    <x v="1"/>
    <x v="3"/>
    <x v="0"/>
    <x v="5"/>
    <n v="19"/>
    <n v="216.92"/>
    <n v="3503.33"/>
    <s v="3,503.33"/>
    <s v="WELCOME15"/>
    <x v="1"/>
    <x v="0"/>
    <n v="216.92"/>
    <n v="3503.2579999999994"/>
    <n v="0.15"/>
    <n v="3503.2579999999994"/>
    <s v="False"/>
    <n v="0"/>
  </r>
  <r>
    <n v="20250"/>
    <x v="70"/>
    <x v="3"/>
    <x v="14"/>
    <x v="0"/>
    <x v="0"/>
    <x v="4"/>
    <n v="18"/>
    <n v="34.17"/>
    <n v="615.14"/>
    <s v="£615.14"/>
    <s v=""/>
    <x v="1"/>
    <x v="0"/>
    <n v="34.17"/>
    <n v="615.06000000000006"/>
    <n v="0"/>
    <n v="615.06000000000006"/>
    <s v="False"/>
    <n v="0"/>
  </r>
  <r>
    <n v="20251"/>
    <x v="70"/>
    <x v="0"/>
    <x v="1"/>
    <x v="10"/>
    <x v="0"/>
    <x v="0"/>
    <n v="13"/>
    <n v="188.5"/>
    <n v="1960"/>
    <s v="£ 1,960"/>
    <s v="BULK20"/>
    <x v="0"/>
    <x v="0"/>
    <n v="188.5"/>
    <n v="1960.4"/>
    <n v="0.2"/>
    <n v="1960.4"/>
    <s v="False"/>
    <n v="0"/>
  </r>
  <r>
    <n v="20252"/>
    <x v="75"/>
    <x v="5"/>
    <x v="9"/>
    <x v="3"/>
    <x v="0"/>
    <x v="2"/>
    <n v="15"/>
    <n v="208.41"/>
    <n v="2657"/>
    <s v="£ 2,657"/>
    <s v="WELCOME15"/>
    <x v="1"/>
    <x v="0"/>
    <n v="208.41"/>
    <n v="2657.2275"/>
    <n v="0.15"/>
    <n v="2657.2275"/>
    <s v="False"/>
    <n v="0"/>
  </r>
  <r>
    <n v="20253"/>
    <x v="19"/>
    <x v="4"/>
    <x v="5"/>
    <x v="0"/>
    <x v="0"/>
    <x v="0"/>
    <n v="2"/>
    <n v="32.64"/>
    <n v="65.290000000000006"/>
    <s v="£65.29"/>
    <s v=""/>
    <x v="0"/>
    <x v="0"/>
    <n v="32.64"/>
    <n v="65.28"/>
    <n v="0"/>
    <n v="65.28"/>
    <s v="False"/>
    <n v="0"/>
  </r>
  <r>
    <n v="20254"/>
    <x v="21"/>
    <x v="3"/>
    <x v="14"/>
    <x v="7"/>
    <x v="0"/>
    <x v="5"/>
    <n v="18"/>
    <n v="65"/>
    <n v="1211.4000000000001"/>
    <s v="£1,211.40"/>
    <s v=""/>
    <x v="1"/>
    <x v="0"/>
    <n v="65"/>
    <n v="1170"/>
    <n v="0"/>
    <n v="1170"/>
    <s v="False"/>
    <n v="0"/>
  </r>
  <r>
    <n v="20255"/>
    <x v="66"/>
    <x v="0"/>
    <x v="13"/>
    <x v="1"/>
    <x v="1"/>
    <x v="3"/>
    <n v="19"/>
    <n v="127.24"/>
    <n v="2417.5100000000002"/>
    <s v="£2,417.51"/>
    <s v=""/>
    <x v="1"/>
    <x v="0"/>
    <n v="127.24"/>
    <n v="2417.56"/>
    <n v="0"/>
    <n v="2417.56"/>
    <s v="False"/>
    <n v="0"/>
  </r>
  <r>
    <n v="20256"/>
    <x v="60"/>
    <x v="0"/>
    <x v="13"/>
    <x v="9"/>
    <x v="1"/>
    <x v="5"/>
    <n v="24"/>
    <n v="257.38"/>
    <n v="5868.32"/>
    <s v="5,868.32"/>
    <s v="CLEAR5"/>
    <x v="1"/>
    <x v="1"/>
    <n v="257.38"/>
    <n v="5868.2639999999992"/>
    <n v="0.05"/>
    <n v="5868.2639999999992"/>
    <s v="False"/>
    <n v="1"/>
  </r>
  <r>
    <n v="20257"/>
    <x v="41"/>
    <x v="5"/>
    <x v="9"/>
    <x v="6"/>
    <x v="1"/>
    <x v="3"/>
    <n v="16"/>
    <n v="36.29"/>
    <n v="580.64"/>
    <s v="£580.64"/>
    <s v=""/>
    <x v="1"/>
    <x v="0"/>
    <n v="36.29"/>
    <n v="580.64"/>
    <n v="0"/>
    <n v="580.64"/>
    <s v="False"/>
    <n v="0"/>
  </r>
  <r>
    <n v="20258"/>
    <x v="46"/>
    <x v="2"/>
    <x v="10"/>
    <x v="9"/>
    <x v="1"/>
    <x v="4"/>
    <n v="17"/>
    <n v="294.41000000000003"/>
    <n v="5005"/>
    <s v="£5,005.00"/>
    <s v=""/>
    <x v="1"/>
    <x v="0"/>
    <n v="294.41000000000003"/>
    <n v="5004.97"/>
    <n v="0"/>
    <n v="5004.97"/>
    <s v="False"/>
    <n v="0"/>
  </r>
  <r>
    <n v="20259"/>
    <x v="46"/>
    <x v="2"/>
    <x v="3"/>
    <x v="8"/>
    <x v="0"/>
    <x v="3"/>
    <n v="13"/>
    <n v="128.44999999999999"/>
    <n v="1669.9"/>
    <s v="£1,669.90"/>
    <s v=""/>
    <x v="0"/>
    <x v="0"/>
    <n v="128.44999999999999"/>
    <n v="1669.85"/>
    <n v="0"/>
    <n v="1669.85"/>
    <s v="False"/>
    <n v="0"/>
  </r>
  <r>
    <n v="20260"/>
    <x v="17"/>
    <x v="0"/>
    <x v="13"/>
    <x v="6"/>
    <x v="1"/>
    <x v="5"/>
    <n v="19"/>
    <n v="35"/>
    <n v="674.23"/>
    <s v="674.23"/>
    <s v=""/>
    <x v="1"/>
    <x v="0"/>
    <n v="35"/>
    <n v="665"/>
    <n v="0"/>
    <n v="665"/>
    <s v="False"/>
    <n v="0"/>
  </r>
  <r>
    <n v="20261"/>
    <x v="1"/>
    <x v="3"/>
    <x v="14"/>
    <x v="10"/>
    <x v="0"/>
    <x v="5"/>
    <n v="19"/>
    <n v="171.64"/>
    <n v="3261.21"/>
    <s v="3,261.21"/>
    <s v=""/>
    <x v="1"/>
    <x v="0"/>
    <n v="171.64"/>
    <n v="3261.16"/>
    <n v="0"/>
    <n v="3261.16"/>
    <s v="False"/>
    <n v="0"/>
  </r>
  <r>
    <n v="20262"/>
    <x v="17"/>
    <x v="2"/>
    <x v="10"/>
    <x v="11"/>
    <x v="0"/>
    <x v="2"/>
    <n v="14"/>
    <n v="25.87"/>
    <n v="362.12"/>
    <s v="362.12"/>
    <s v=""/>
    <x v="0"/>
    <x v="0"/>
    <n v="25.87"/>
    <n v="362.18"/>
    <n v="0"/>
    <n v="362.18"/>
    <s v="False"/>
    <n v="0"/>
  </r>
  <r>
    <n v="20263"/>
    <x v="24"/>
    <x v="5"/>
    <x v="9"/>
    <x v="11"/>
    <x v="0"/>
    <x v="2"/>
    <n v="17"/>
    <n v="24.19"/>
    <n v="411.21"/>
    <s v="411.21"/>
    <s v=""/>
    <x v="1"/>
    <x v="0"/>
    <n v="24.19"/>
    <n v="411.23"/>
    <n v="0"/>
    <n v="411.23"/>
    <s v="False"/>
    <n v="0"/>
  </r>
  <r>
    <n v="20264"/>
    <x v="37"/>
    <x v="3"/>
    <x v="14"/>
    <x v="8"/>
    <x v="0"/>
    <x v="2"/>
    <n v="4"/>
    <n v="127.18"/>
    <n v="508.7"/>
    <s v="508.70"/>
    <s v=""/>
    <x v="0"/>
    <x v="0"/>
    <n v="127.18"/>
    <n v="508.72"/>
    <n v="0"/>
    <n v="508.72"/>
    <s v="False"/>
    <n v="0"/>
  </r>
  <r>
    <n v="20265"/>
    <x v="48"/>
    <x v="3"/>
    <x v="14"/>
    <x v="6"/>
    <x v="1"/>
    <x v="4"/>
    <n v="25"/>
    <n v="36.78"/>
    <n v="919.6"/>
    <s v="£919.60"/>
    <s v=""/>
    <x v="1"/>
    <x v="0"/>
    <n v="36.78"/>
    <n v="919.5"/>
    <n v="0"/>
    <n v="919.5"/>
    <s v="False"/>
    <n v="0"/>
  </r>
  <r>
    <n v="20266"/>
    <x v="8"/>
    <x v="5"/>
    <x v="8"/>
    <x v="1"/>
    <x v="1"/>
    <x v="1"/>
    <n v="15"/>
    <n v="126.22"/>
    <n v="1704"/>
    <s v="£ 1,704"/>
    <s v="SAVE10"/>
    <x v="1"/>
    <x v="0"/>
    <n v="126.22"/>
    <n v="1703.97"/>
    <n v="0.1"/>
    <n v="1703.97"/>
    <s v="False"/>
    <n v="0"/>
  </r>
  <r>
    <n v="20267"/>
    <x v="82"/>
    <x v="2"/>
    <x v="10"/>
    <x v="7"/>
    <x v="0"/>
    <x v="0"/>
    <n v="15"/>
    <n v="70.040000000000006"/>
    <n v="840"/>
    <s v="£ 840"/>
    <s v="BULK20"/>
    <x v="0"/>
    <x v="0"/>
    <n v="70.040000000000006"/>
    <n v="840.48000000000013"/>
    <n v="0.2"/>
    <n v="840.48000000000013"/>
    <s v="False"/>
    <n v="0"/>
  </r>
  <r>
    <n v="20268"/>
    <x v="53"/>
    <x v="5"/>
    <x v="9"/>
    <x v="10"/>
    <x v="0"/>
    <x v="1"/>
    <n v="2"/>
    <n v="171.35"/>
    <n v="342.7"/>
    <s v="342.70"/>
    <s v=""/>
    <x v="0"/>
    <x v="0"/>
    <n v="171.35"/>
    <n v="342.7"/>
    <n v="0"/>
    <n v="342.7"/>
    <s v="False"/>
    <n v="0"/>
  </r>
  <r>
    <n v="20269"/>
    <x v="61"/>
    <x v="2"/>
    <x v="10"/>
    <x v="4"/>
    <x v="0"/>
    <x v="0"/>
    <n v="12"/>
    <n v="418.19"/>
    <n v="4767.3599999999997"/>
    <s v="£4,767.36"/>
    <s v="CLEAR5"/>
    <x v="0"/>
    <x v="1"/>
    <n v="418.19"/>
    <n v="4767.366"/>
    <n v="0.05"/>
    <n v="4767.366"/>
    <s v="False"/>
    <n v="1"/>
  </r>
  <r>
    <n v="20270"/>
    <x v="62"/>
    <x v="1"/>
    <x v="11"/>
    <x v="7"/>
    <x v="0"/>
    <x v="3"/>
    <n v="5"/>
    <n v="65.17"/>
    <n v="293.27"/>
    <s v="293.27"/>
    <s v="SAVE10"/>
    <x v="0"/>
    <x v="0"/>
    <n v="65.17"/>
    <n v="293.26500000000004"/>
    <n v="0.1"/>
    <n v="293.26500000000004"/>
    <s v="False"/>
    <n v="0"/>
  </r>
  <r>
    <n v="20271"/>
    <x v="10"/>
    <x v="3"/>
    <x v="4"/>
    <x v="5"/>
    <x v="0"/>
    <x v="5"/>
    <n v="18"/>
    <n v="765.35"/>
    <n v="13776"/>
    <s v="£ 13,776"/>
    <s v=""/>
    <x v="1"/>
    <x v="0"/>
    <n v="765.35"/>
    <n v="13776.300000000001"/>
    <n v="0"/>
    <n v="13776.300000000001"/>
    <s v="False"/>
    <n v="0"/>
  </r>
  <r>
    <n v="20272"/>
    <x v="80"/>
    <x v="0"/>
    <x v="13"/>
    <x v="9"/>
    <x v="1"/>
    <x v="0"/>
    <n v="24"/>
    <n v="301.83999999999997"/>
    <n v="7244.22"/>
    <s v="£7,244.22"/>
    <s v=""/>
    <x v="1"/>
    <x v="0"/>
    <n v="301.83999999999997"/>
    <n v="7244.16"/>
    <n v="0"/>
    <n v="7244.16"/>
    <s v="False"/>
    <n v="0"/>
  </r>
  <r>
    <n v="20273"/>
    <x v="73"/>
    <x v="0"/>
    <x v="0"/>
    <x v="5"/>
    <x v="0"/>
    <x v="2"/>
    <n v="20"/>
    <n v="868.17"/>
    <n v="15626.98"/>
    <s v="£15,626.98"/>
    <s v="SAVE10"/>
    <x v="1"/>
    <x v="0"/>
    <n v="868.17"/>
    <n v="15627.059999999998"/>
    <n v="0.1"/>
    <n v="15627.059999999998"/>
    <s v="False"/>
    <n v="0"/>
  </r>
  <r>
    <n v="20274"/>
    <x v="23"/>
    <x v="0"/>
    <x v="0"/>
    <x v="5"/>
    <x v="0"/>
    <x v="1"/>
    <n v="16"/>
    <n v="916.81"/>
    <n v="13202.09"/>
    <s v="13,202.09"/>
    <s v="SAVE10"/>
    <x v="1"/>
    <x v="0"/>
    <n v="916.81"/>
    <n v="13202.064"/>
    <n v="0.1"/>
    <n v="13202.064"/>
    <s v="False"/>
    <n v="0"/>
  </r>
  <r>
    <n v="20275"/>
    <x v="70"/>
    <x v="0"/>
    <x v="7"/>
    <x v="0"/>
    <x v="0"/>
    <x v="5"/>
    <n v="16"/>
    <n v="34.619999999999997"/>
    <n v="499"/>
    <s v="£ 499"/>
    <s v="SAVE10"/>
    <x v="1"/>
    <x v="0"/>
    <n v="34.619999999999997"/>
    <n v="498.52799999999996"/>
    <n v="0.1"/>
    <n v="498.52799999999996"/>
    <s v="False"/>
    <n v="0"/>
  </r>
  <r>
    <n v="20276"/>
    <x v="58"/>
    <x v="0"/>
    <x v="13"/>
    <x v="1"/>
    <x v="1"/>
    <x v="5"/>
    <n v="17"/>
    <n v="125.74"/>
    <n v="1923.83"/>
    <s v="£1,923.83"/>
    <s v="SAVE10"/>
    <x v="1"/>
    <x v="0"/>
    <n v="125.74"/>
    <n v="1923.8219999999999"/>
    <n v="0.1"/>
    <n v="1923.8219999999999"/>
    <s v="False"/>
    <n v="0"/>
  </r>
  <r>
    <n v="20277"/>
    <x v="40"/>
    <x v="1"/>
    <x v="6"/>
    <x v="8"/>
    <x v="0"/>
    <x v="1"/>
    <n v="5"/>
    <n v="126.06"/>
    <n v="598.77"/>
    <s v="£598.77"/>
    <s v="CLEAR5"/>
    <x v="0"/>
    <x v="0"/>
    <n v="126.06"/>
    <n v="598.78499999999997"/>
    <n v="0.05"/>
    <n v="598.78499999999997"/>
    <s v="False"/>
    <n v="0"/>
  </r>
  <r>
    <n v="20278"/>
    <x v="77"/>
    <x v="1"/>
    <x v="2"/>
    <x v="5"/>
    <x v="0"/>
    <x v="4"/>
    <n v="10"/>
    <n v="891.33"/>
    <n v="8022.01"/>
    <s v="£8,022.01"/>
    <s v="SAVE10"/>
    <x v="1"/>
    <x v="0"/>
    <n v="891.33"/>
    <n v="8021.9700000000012"/>
    <n v="0.1"/>
    <n v="8021.9700000000012"/>
    <s v="False"/>
    <n v="0"/>
  </r>
  <r>
    <n v="20279"/>
    <x v="46"/>
    <x v="0"/>
    <x v="13"/>
    <x v="3"/>
    <x v="0"/>
    <x v="0"/>
    <n v="19"/>
    <n v="204.12"/>
    <n v="3490.43"/>
    <s v="3,490.43"/>
    <s v="SAVE10"/>
    <x v="0"/>
    <x v="0"/>
    <n v="204.12"/>
    <n v="3490.4520000000002"/>
    <n v="0.1"/>
    <n v="3490.4520000000002"/>
    <s v="False"/>
    <n v="0"/>
  </r>
  <r>
    <n v="20280"/>
    <x v="51"/>
    <x v="2"/>
    <x v="3"/>
    <x v="9"/>
    <x v="1"/>
    <x v="3"/>
    <n v="4"/>
    <n v="278.13"/>
    <n v="1001.26"/>
    <s v="£1,001.26"/>
    <s v="SAVE10"/>
    <x v="0"/>
    <x v="0"/>
    <n v="278.13"/>
    <n v="1001.268"/>
    <n v="0.1"/>
    <n v="1001.268"/>
    <s v="False"/>
    <n v="0"/>
  </r>
  <r>
    <n v="20281"/>
    <x v="43"/>
    <x v="0"/>
    <x v="7"/>
    <x v="6"/>
    <x v="1"/>
    <x v="4"/>
    <n v="11"/>
    <n v="33.229999999999997"/>
    <n v="366"/>
    <s v="£ 366"/>
    <s v=""/>
    <x v="0"/>
    <x v="0"/>
    <n v="33.229999999999997"/>
    <n v="365.53"/>
    <n v="0"/>
    <n v="365.53"/>
    <s v="False"/>
    <n v="0"/>
  </r>
  <r>
    <n v="20282"/>
    <x v="71"/>
    <x v="3"/>
    <x v="14"/>
    <x v="5"/>
    <x v="0"/>
    <x v="1"/>
    <n v="10"/>
    <n v="838.41"/>
    <n v="8384.1299999999992"/>
    <s v="8,384.13"/>
    <s v=""/>
    <x v="1"/>
    <x v="0"/>
    <n v="838.41"/>
    <n v="8384.1"/>
    <n v="0"/>
    <n v="8384.1"/>
    <s v="False"/>
    <n v="0"/>
  </r>
  <r>
    <n v="20283"/>
    <x v="84"/>
    <x v="4"/>
    <x v="12"/>
    <x v="7"/>
    <x v="0"/>
    <x v="5"/>
    <n v="25"/>
    <n v="59.38"/>
    <n v="1484.45"/>
    <s v="£1,484.45"/>
    <s v=""/>
    <x v="1"/>
    <x v="0"/>
    <n v="59.38"/>
    <n v="1484.5"/>
    <n v="0"/>
    <n v="1484.5"/>
    <s v="False"/>
    <n v="0"/>
  </r>
  <r>
    <n v="20284"/>
    <x v="60"/>
    <x v="5"/>
    <x v="8"/>
    <x v="6"/>
    <x v="1"/>
    <x v="3"/>
    <n v="12"/>
    <n v="35.119999999999997"/>
    <n v="421.49"/>
    <s v="£421.49"/>
    <s v=""/>
    <x v="0"/>
    <x v="0"/>
    <n v="35.119999999999997"/>
    <n v="421.43999999999994"/>
    <n v="0"/>
    <n v="421.43999999999994"/>
    <s v="False"/>
    <n v="0"/>
  </r>
  <r>
    <n v="20285"/>
    <x v="66"/>
    <x v="1"/>
    <x v="2"/>
    <x v="11"/>
    <x v="0"/>
    <x v="4"/>
    <n v="15"/>
    <n v="27.05"/>
    <n v="405.79"/>
    <s v="£405.79"/>
    <s v=""/>
    <x v="0"/>
    <x v="0"/>
    <n v="27.05"/>
    <n v="405.75"/>
    <n v="0"/>
    <n v="405.75"/>
    <s v="False"/>
    <n v="0"/>
  </r>
  <r>
    <n v="20286"/>
    <x v="68"/>
    <x v="0"/>
    <x v="0"/>
    <x v="11"/>
    <x v="0"/>
    <x v="4"/>
    <n v="12"/>
    <n v="23.5"/>
    <n v="253.75"/>
    <s v="253.75"/>
    <s v="SAVE10"/>
    <x v="1"/>
    <x v="0"/>
    <n v="23.5"/>
    <n v="253.8"/>
    <n v="0.1"/>
    <n v="253.8"/>
    <s v="False"/>
    <n v="0"/>
  </r>
  <r>
    <n v="20287"/>
    <x v="31"/>
    <x v="2"/>
    <x v="10"/>
    <x v="4"/>
    <x v="0"/>
    <x v="1"/>
    <n v="15"/>
    <n v="467.49"/>
    <n v="7012.38"/>
    <s v="£7,012.38"/>
    <s v=""/>
    <x v="1"/>
    <x v="0"/>
    <n v="467.49"/>
    <n v="7012.35"/>
    <n v="0"/>
    <n v="7012.35"/>
    <s v="False"/>
    <n v="0"/>
  </r>
  <r>
    <n v="20288"/>
    <x v="59"/>
    <x v="0"/>
    <x v="7"/>
    <x v="3"/>
    <x v="0"/>
    <x v="2"/>
    <n v="19"/>
    <n v="198.57"/>
    <n v="3772.84"/>
    <s v="£3,772.84"/>
    <s v=""/>
    <x v="1"/>
    <x v="0"/>
    <n v="198.57"/>
    <n v="3772.83"/>
    <n v="0"/>
    <n v="3772.83"/>
    <s v="False"/>
    <n v="0"/>
  </r>
  <r>
    <n v="20289"/>
    <x v="30"/>
    <x v="5"/>
    <x v="9"/>
    <x v="7"/>
    <x v="0"/>
    <x v="2"/>
    <n v="14"/>
    <n v="61.49"/>
    <n v="860.89"/>
    <s v="860.89"/>
    <s v=""/>
    <x v="1"/>
    <x v="0"/>
    <n v="61.49"/>
    <n v="860.86"/>
    <n v="0"/>
    <n v="860.86"/>
    <s v="False"/>
    <n v="0"/>
  </r>
  <r>
    <n v="20290"/>
    <x v="7"/>
    <x v="2"/>
    <x v="10"/>
    <x v="4"/>
    <x v="0"/>
    <x v="1"/>
    <n v="18"/>
    <n v="465.76"/>
    <n v="8384"/>
    <s v="£ 8,384"/>
    <s v=""/>
    <x v="1"/>
    <x v="0"/>
    <n v="465.76"/>
    <n v="8383.68"/>
    <n v="0"/>
    <n v="8383.68"/>
    <s v="False"/>
    <n v="0"/>
  </r>
  <r>
    <n v="20291"/>
    <x v="54"/>
    <x v="3"/>
    <x v="4"/>
    <x v="2"/>
    <x v="1"/>
    <x v="5"/>
    <n v="5"/>
    <n v="397.12"/>
    <n v="1985.58"/>
    <s v="1,985.58"/>
    <s v=""/>
    <x v="0"/>
    <x v="0"/>
    <n v="397.12"/>
    <n v="1985.6"/>
    <n v="0"/>
    <n v="1985.6"/>
    <s v="False"/>
    <n v="0"/>
  </r>
  <r>
    <n v="20292"/>
    <x v="69"/>
    <x v="5"/>
    <x v="9"/>
    <x v="10"/>
    <x v="0"/>
    <x v="4"/>
    <n v="16"/>
    <n v="177.33"/>
    <n v="2269.77"/>
    <s v="£2,269.77"/>
    <s v="BULK20"/>
    <x v="1"/>
    <x v="1"/>
    <n v="177.33"/>
    <n v="2269.8240000000001"/>
    <n v="0.2"/>
    <n v="2269.8240000000001"/>
    <s v="False"/>
    <n v="1"/>
  </r>
  <r>
    <n v="20293"/>
    <x v="79"/>
    <x v="0"/>
    <x v="1"/>
    <x v="8"/>
    <x v="0"/>
    <x v="4"/>
    <n v="10"/>
    <n v="144.9"/>
    <n v="1304.07"/>
    <s v="£1,304.07"/>
    <s v="SAVE10"/>
    <x v="1"/>
    <x v="0"/>
    <n v="144.9"/>
    <n v="1304.1000000000001"/>
    <n v="0.1"/>
    <n v="1304.1000000000001"/>
    <s v="False"/>
    <n v="0"/>
  </r>
  <r>
    <n v="20294"/>
    <x v="85"/>
    <x v="5"/>
    <x v="8"/>
    <x v="9"/>
    <x v="1"/>
    <x v="4"/>
    <n v="5"/>
    <n v="269.35000000000002"/>
    <n v="1346.73"/>
    <s v="£1,346.73"/>
    <s v=""/>
    <x v="0"/>
    <x v="0"/>
    <n v="269.35000000000002"/>
    <n v="1346.75"/>
    <n v="0"/>
    <n v="1346.75"/>
    <s v="False"/>
    <n v="0"/>
  </r>
  <r>
    <n v="20295"/>
    <x v="14"/>
    <x v="5"/>
    <x v="8"/>
    <x v="10"/>
    <x v="0"/>
    <x v="5"/>
    <n v="25"/>
    <n v="190.52"/>
    <n v="4525"/>
    <s v="£ 4,525"/>
    <s v="CLEAR5"/>
    <x v="1"/>
    <x v="0"/>
    <n v="190.52"/>
    <n v="4524.8499999999995"/>
    <n v="0.05"/>
    <n v="4524.8499999999995"/>
    <s v="False"/>
    <n v="0"/>
  </r>
  <r>
    <n v="20296"/>
    <x v="7"/>
    <x v="2"/>
    <x v="3"/>
    <x v="9"/>
    <x v="1"/>
    <x v="0"/>
    <n v="12"/>
    <n v="280.25"/>
    <n v="3026.66"/>
    <s v="3,026.66"/>
    <s v="SAVE10 "/>
    <x v="1"/>
    <x v="0"/>
    <n v="280.25"/>
    <n v="3026.7000000000003"/>
    <n v="0.1"/>
    <n v="3026.7000000000003"/>
    <s v="False"/>
    <n v="0"/>
  </r>
  <r>
    <n v="20297"/>
    <x v="12"/>
    <x v="5"/>
    <x v="8"/>
    <x v="7"/>
    <x v="0"/>
    <x v="3"/>
    <n v="15"/>
    <n v="65"/>
    <e v="#VALUE!"/>
    <m/>
    <s v="SAVE10"/>
    <x v="1"/>
    <x v="0"/>
    <n v="65"/>
    <n v="877.5"/>
    <n v="0.1"/>
    <n v="877.5"/>
    <s v="False"/>
    <n v="0"/>
  </r>
  <r>
    <n v="20298"/>
    <x v="40"/>
    <x v="0"/>
    <x v="7"/>
    <x v="9"/>
    <x v="1"/>
    <x v="4"/>
    <n v="20"/>
    <n v="295"/>
    <n v="5309.25"/>
    <s v="5,309.25"/>
    <s v="SAVE10"/>
    <x v="1"/>
    <x v="0"/>
    <n v="295"/>
    <n v="5310"/>
    <n v="0.1"/>
    <n v="5310"/>
    <s v="False"/>
    <n v="0"/>
  </r>
  <r>
    <n v="20299"/>
    <x v="85"/>
    <x v="1"/>
    <x v="2"/>
    <x v="0"/>
    <x v="0"/>
    <x v="4"/>
    <n v="14"/>
    <n v="35"/>
    <n v="451.38"/>
    <s v="£451.38"/>
    <s v=""/>
    <x v="1"/>
    <x v="1"/>
    <n v="35"/>
    <n v="490"/>
    <n v="0"/>
    <n v="490"/>
    <s v="False"/>
    <n v="1"/>
  </r>
  <r>
    <n v="20300"/>
    <x v="58"/>
    <x v="2"/>
    <x v="3"/>
    <x v="4"/>
    <x v="0"/>
    <x v="0"/>
    <n v="13"/>
    <n v="492.51"/>
    <n v="6402.67"/>
    <s v="£6,402.67"/>
    <s v=""/>
    <x v="0"/>
    <x v="0"/>
    <n v="492.51"/>
    <n v="6402.63"/>
    <n v="0"/>
    <n v="6402.63"/>
    <s v="False"/>
    <n v="0"/>
  </r>
  <r>
    <n v="20301"/>
    <x v="16"/>
    <x v="3"/>
    <x v="4"/>
    <x v="0"/>
    <x v="0"/>
    <x v="0"/>
    <n v="20"/>
    <n v="34.119999999999997"/>
    <n v="614"/>
    <s v="£ 614"/>
    <s v="SAVE10"/>
    <x v="1"/>
    <x v="0"/>
    <n v="34.119999999999997"/>
    <n v="614.16"/>
    <n v="0.1"/>
    <n v="614.16"/>
    <s v="False"/>
    <n v="0"/>
  </r>
  <r>
    <n v="20302"/>
    <x v="35"/>
    <x v="0"/>
    <x v="0"/>
    <x v="2"/>
    <x v="1"/>
    <x v="4"/>
    <n v="13"/>
    <n v="393.42"/>
    <n v="4347.2700000000004"/>
    <s v="£4,347.27"/>
    <s v="WELCOME15"/>
    <x v="0"/>
    <x v="0"/>
    <n v="393.42"/>
    <n v="4347.2910000000002"/>
    <n v="0.15"/>
    <n v="4347.2910000000002"/>
    <s v="False"/>
    <n v="0"/>
  </r>
  <r>
    <n v="20303"/>
    <x v="3"/>
    <x v="0"/>
    <x v="1"/>
    <x v="11"/>
    <x v="0"/>
    <x v="5"/>
    <n v="18"/>
    <n v="23"/>
    <n v="391.59"/>
    <s v="£391.59"/>
    <s v="CLEAR5"/>
    <x v="1"/>
    <x v="0"/>
    <n v="23"/>
    <n v="393.29999999999995"/>
    <n v="0.05"/>
    <n v="393.29999999999995"/>
    <s v="False"/>
    <n v="0"/>
  </r>
  <r>
    <n v="20304"/>
    <x v="20"/>
    <x v="0"/>
    <x v="13"/>
    <x v="4"/>
    <x v="0"/>
    <x v="5"/>
    <n v="9"/>
    <n v="405"/>
    <n v="3465.97"/>
    <s v="£3,465.97"/>
    <s v="CLEAR5"/>
    <x v="1"/>
    <x v="0"/>
    <n v="405"/>
    <n v="3462.75"/>
    <n v="0.05"/>
    <n v="3462.75"/>
    <s v="False"/>
    <n v="0"/>
  </r>
  <r>
    <n v="20305"/>
    <x v="72"/>
    <x v="3"/>
    <x v="4"/>
    <x v="2"/>
    <x v="1"/>
    <x v="0"/>
    <n v="13"/>
    <n v="439.8"/>
    <n v="5717.35"/>
    <s v="5,717.35"/>
    <s v=""/>
    <x v="0"/>
    <x v="0"/>
    <n v="439.8"/>
    <n v="5717.4000000000005"/>
    <n v="0"/>
    <n v="5717.4000000000005"/>
    <s v="False"/>
    <n v="0"/>
  </r>
  <r>
    <n v="20306"/>
    <x v="2"/>
    <x v="1"/>
    <x v="2"/>
    <x v="0"/>
    <x v="0"/>
    <x v="0"/>
    <n v="14"/>
    <n v="35"/>
    <n v="490"/>
    <s v="£ 490"/>
    <s v=""/>
    <x v="1"/>
    <x v="0"/>
    <n v="35"/>
    <n v="490"/>
    <n v="0"/>
    <n v="490"/>
    <s v="False"/>
    <n v="0"/>
  </r>
  <r>
    <n v="20307"/>
    <x v="23"/>
    <x v="3"/>
    <x v="14"/>
    <x v="4"/>
    <x v="0"/>
    <x v="4"/>
    <n v="14"/>
    <n v="470.97"/>
    <n v="5934.27"/>
    <s v="£5,934.27"/>
    <s v="SAVE10"/>
    <x v="0"/>
    <x v="0"/>
    <n v="470.97"/>
    <n v="5934.2219999999998"/>
    <n v="0.1"/>
    <n v="5934.2219999999998"/>
    <s v="False"/>
    <n v="0"/>
  </r>
  <r>
    <n v="20308"/>
    <x v="17"/>
    <x v="0"/>
    <x v="7"/>
    <x v="11"/>
    <x v="0"/>
    <x v="1"/>
    <n v="8"/>
    <n v="25.86"/>
    <n v="186.22"/>
    <s v="186.22"/>
    <s v="SAVE10"/>
    <x v="0"/>
    <x v="1"/>
    <n v="25.86"/>
    <n v="186.19200000000001"/>
    <n v="0.1"/>
    <n v="186.19200000000001"/>
    <s v="False"/>
    <n v="1"/>
  </r>
  <r>
    <n v="20309"/>
    <x v="72"/>
    <x v="1"/>
    <x v="11"/>
    <x v="1"/>
    <x v="1"/>
    <x v="4"/>
    <n v="2"/>
    <n v="120"/>
    <n v="257.91000000000003"/>
    <s v="£257.91"/>
    <s v=""/>
    <x v="0"/>
    <x v="0"/>
    <n v="120"/>
    <n v="240"/>
    <n v="0"/>
    <n v="240"/>
    <s v="False"/>
    <n v="0"/>
  </r>
  <r>
    <n v="20310"/>
    <x v="64"/>
    <x v="2"/>
    <x v="3"/>
    <x v="5"/>
    <x v="0"/>
    <x v="0"/>
    <n v="11"/>
    <n v="804.7"/>
    <n v="7081"/>
    <s v="£ 7,081"/>
    <s v="BULK20"/>
    <x v="0"/>
    <x v="0"/>
    <n v="804.7"/>
    <n v="7081.3600000000006"/>
    <n v="0.2"/>
    <n v="7081.3600000000006"/>
    <s v="False"/>
    <n v="0"/>
  </r>
  <r>
    <n v="20311"/>
    <x v="20"/>
    <x v="5"/>
    <x v="8"/>
    <x v="6"/>
    <x v="1"/>
    <x v="5"/>
    <n v="18"/>
    <n v="33"/>
    <n v="500.2"/>
    <s v="500.20"/>
    <s v="WELCOME15"/>
    <x v="1"/>
    <x v="0"/>
    <n v="33"/>
    <n v="504.9"/>
    <n v="0.15"/>
    <n v="504.9"/>
    <s v="False"/>
    <n v="0"/>
  </r>
  <r>
    <n v="20312"/>
    <x v="55"/>
    <x v="1"/>
    <x v="2"/>
    <x v="8"/>
    <x v="0"/>
    <x v="1"/>
    <n v="13"/>
    <n v="148"/>
    <n v="1539"/>
    <s v="£ 1,539"/>
    <s v="BULK20"/>
    <x v="0"/>
    <x v="0"/>
    <n v="148"/>
    <n v="1539.2"/>
    <n v="0.2"/>
    <n v="1539.2"/>
    <s v="False"/>
    <n v="0"/>
  </r>
  <r>
    <n v="20313"/>
    <x v="86"/>
    <x v="1"/>
    <x v="2"/>
    <x v="3"/>
    <x v="0"/>
    <x v="5"/>
    <n v="8"/>
    <n v="201.53"/>
    <n v="1612.25"/>
    <s v="£1,612.25"/>
    <s v=""/>
    <x v="1"/>
    <x v="0"/>
    <n v="201.53"/>
    <n v="1612.24"/>
    <n v="0"/>
    <n v="1612.24"/>
    <s v="False"/>
    <n v="0"/>
  </r>
  <r>
    <n v="20314"/>
    <x v="83"/>
    <x v="2"/>
    <x v="10"/>
    <x v="6"/>
    <x v="1"/>
    <x v="3"/>
    <n v="2"/>
    <n v="33.83"/>
    <n v="68"/>
    <s v="£ 68"/>
    <s v=""/>
    <x v="0"/>
    <x v="0"/>
    <n v="33.83"/>
    <n v="67.66"/>
    <n v="0"/>
    <n v="67.66"/>
    <s v="False"/>
    <n v="0"/>
  </r>
  <r>
    <n v="20315"/>
    <x v="64"/>
    <x v="4"/>
    <x v="12"/>
    <x v="4"/>
    <x v="0"/>
    <x v="0"/>
    <n v="7"/>
    <n v="454.32"/>
    <n v="3180.25"/>
    <s v="£3,180.25"/>
    <s v=""/>
    <x v="0"/>
    <x v="1"/>
    <n v="454.32"/>
    <n v="3180.24"/>
    <n v="0"/>
    <n v="3180.24"/>
    <s v="False"/>
    <n v="1"/>
  </r>
  <r>
    <n v="20316"/>
    <x v="3"/>
    <x v="0"/>
    <x v="13"/>
    <x v="9"/>
    <x v="1"/>
    <x v="0"/>
    <n v="18"/>
    <n v="262.06"/>
    <n v="4717.07"/>
    <s v="4,717.07"/>
    <s v=""/>
    <x v="1"/>
    <x v="0"/>
    <n v="262.06"/>
    <n v="4717.08"/>
    <n v="0"/>
    <n v="4717.08"/>
    <s v="False"/>
    <n v="0"/>
  </r>
  <r>
    <n v="20317"/>
    <x v="30"/>
    <x v="2"/>
    <x v="3"/>
    <x v="11"/>
    <x v="0"/>
    <x v="5"/>
    <n v="5"/>
    <n v="23.11"/>
    <n v="115.55"/>
    <s v="£115.55"/>
    <s v=""/>
    <x v="1"/>
    <x v="0"/>
    <n v="23.11"/>
    <n v="115.55"/>
    <n v="0"/>
    <n v="115.55"/>
    <s v="False"/>
    <n v="0"/>
  </r>
  <r>
    <n v="20318"/>
    <x v="15"/>
    <x v="4"/>
    <x v="12"/>
    <x v="10"/>
    <x v="0"/>
    <x v="4"/>
    <n v="18"/>
    <n v="181.08"/>
    <n v="3259"/>
    <s v="£ 3,259"/>
    <s v=""/>
    <x v="0"/>
    <x v="0"/>
    <n v="181.08"/>
    <n v="3259.44"/>
    <n v="0"/>
    <n v="3259.44"/>
    <s v="False"/>
    <n v="0"/>
  </r>
  <r>
    <n v="20319"/>
    <x v="28"/>
    <x v="0"/>
    <x v="1"/>
    <x v="5"/>
    <x v="0"/>
    <x v="1"/>
    <n v="20"/>
    <n v="794"/>
    <n v="14295.11"/>
    <s v="£14,295.11"/>
    <s v="SAVE10"/>
    <x v="1"/>
    <x v="0"/>
    <n v="794"/>
    <n v="14292"/>
    <n v="0.1"/>
    <n v="14292"/>
    <s v="False"/>
    <n v="0"/>
  </r>
  <r>
    <n v="20320"/>
    <x v="30"/>
    <x v="0"/>
    <x v="0"/>
    <x v="8"/>
    <x v="0"/>
    <x v="0"/>
    <n v="22"/>
    <n v="137.82"/>
    <n v="2728.77"/>
    <s v="£2,728.77"/>
    <s v="SAVE10"/>
    <x v="1"/>
    <x v="0"/>
    <n v="137.82"/>
    <n v="2728.8360000000002"/>
    <n v="0.1"/>
    <n v="2728.8360000000002"/>
    <s v="False"/>
    <n v="0"/>
  </r>
  <r>
    <n v="20321"/>
    <x v="20"/>
    <x v="0"/>
    <x v="1"/>
    <x v="9"/>
    <x v="1"/>
    <x v="4"/>
    <n v="8"/>
    <n v="281.76"/>
    <n v="2028.69"/>
    <s v="£2,028.69"/>
    <s v="SAVE10"/>
    <x v="1"/>
    <x v="0"/>
    <n v="281.76"/>
    <n v="2028.672"/>
    <n v="0.1"/>
    <n v="2028.672"/>
    <s v="False"/>
    <n v="0"/>
  </r>
  <r>
    <n v="20322"/>
    <x v="2"/>
    <x v="0"/>
    <x v="1"/>
    <x v="7"/>
    <x v="0"/>
    <x v="5"/>
    <n v="15"/>
    <n v="60.85"/>
    <n v="920.16"/>
    <s v="£920.16"/>
    <s v=""/>
    <x v="1"/>
    <x v="0"/>
    <n v="60.85"/>
    <n v="912.75"/>
    <n v="0"/>
    <n v="912.75"/>
    <s v="False"/>
    <n v="0"/>
  </r>
  <r>
    <n v="20323"/>
    <x v="14"/>
    <x v="2"/>
    <x v="3"/>
    <x v="3"/>
    <x v="0"/>
    <x v="3"/>
    <n v="15"/>
    <n v="191.03"/>
    <n v="2865"/>
    <s v="£ 2,865"/>
    <s v=""/>
    <x v="0"/>
    <x v="0"/>
    <n v="191.03"/>
    <n v="2865.45"/>
    <n v="0"/>
    <n v="2865.45"/>
    <s v="False"/>
    <n v="0"/>
  </r>
  <r>
    <n v="20324"/>
    <x v="4"/>
    <x v="5"/>
    <x v="9"/>
    <x v="2"/>
    <x v="1"/>
    <x v="5"/>
    <n v="16"/>
    <n v="435.55"/>
    <n v="6271.92"/>
    <s v="6,271.92"/>
    <s v="SAVE10"/>
    <x v="0"/>
    <x v="1"/>
    <n v="435.55"/>
    <n v="6271.92"/>
    <n v="0.1"/>
    <n v="6271.92"/>
    <s v="False"/>
    <n v="1"/>
  </r>
  <r>
    <n v="20325"/>
    <x v="36"/>
    <x v="5"/>
    <x v="8"/>
    <x v="4"/>
    <x v="0"/>
    <x v="1"/>
    <n v="12"/>
    <n v="443.05"/>
    <n v="5317"/>
    <s v="£ 5,317"/>
    <s v=""/>
    <x v="0"/>
    <x v="0"/>
    <n v="443.05"/>
    <n v="5316.6"/>
    <n v="0"/>
    <n v="5316.6"/>
    <s v="False"/>
    <n v="0"/>
  </r>
  <r>
    <n v="20326"/>
    <x v="23"/>
    <x v="3"/>
    <x v="4"/>
    <x v="8"/>
    <x v="0"/>
    <x v="2"/>
    <n v="1"/>
    <n v="140"/>
    <n v="135.19999999999999"/>
    <s v="£135.20"/>
    <s v=""/>
    <x v="0"/>
    <x v="0"/>
    <n v="140"/>
    <n v="140"/>
    <n v="0"/>
    <n v="140"/>
    <s v="True"/>
    <n v="0"/>
  </r>
  <r>
    <n v="20327"/>
    <x v="59"/>
    <x v="1"/>
    <x v="6"/>
    <x v="1"/>
    <x v="1"/>
    <x v="2"/>
    <n v="17"/>
    <n v="123.75"/>
    <n v="1893.39"/>
    <s v="£1,893.39"/>
    <s v="SAVE10"/>
    <x v="1"/>
    <x v="0"/>
    <n v="123.75"/>
    <n v="1893.375"/>
    <n v="0.1"/>
    <n v="1893.375"/>
    <s v="False"/>
    <n v="0"/>
  </r>
  <r>
    <n v="20328"/>
    <x v="70"/>
    <x v="5"/>
    <x v="9"/>
    <x v="9"/>
    <x v="1"/>
    <x v="2"/>
    <n v="13"/>
    <n v="280"/>
    <n v="3807.3"/>
    <s v="£3,807.30"/>
    <s v=""/>
    <x v="1"/>
    <x v="1"/>
    <n v="280"/>
    <n v="3640"/>
    <n v="0"/>
    <n v="3640"/>
    <s v="False"/>
    <n v="1"/>
  </r>
  <r>
    <n v="20329"/>
    <x v="59"/>
    <x v="0"/>
    <x v="13"/>
    <x v="0"/>
    <x v="0"/>
    <x v="4"/>
    <n v="4"/>
    <n v="35.020000000000003"/>
    <n v="140.07"/>
    <s v="£140.07"/>
    <s v=""/>
    <x v="0"/>
    <x v="0"/>
    <n v="35.020000000000003"/>
    <n v="140.08000000000001"/>
    <n v="0"/>
    <n v="140.08000000000001"/>
    <s v="False"/>
    <n v="0"/>
  </r>
  <r>
    <n v="20330"/>
    <x v="42"/>
    <x v="4"/>
    <x v="12"/>
    <x v="9"/>
    <x v="1"/>
    <x v="3"/>
    <n v="11"/>
    <n v="272"/>
    <n v="2995.96"/>
    <s v="£2,995.96"/>
    <s v=""/>
    <x v="1"/>
    <x v="0"/>
    <n v="272"/>
    <n v="2992"/>
    <n v="0"/>
    <n v="2992"/>
    <s v="False"/>
    <n v="0"/>
  </r>
  <r>
    <n v="20331"/>
    <x v="76"/>
    <x v="0"/>
    <x v="0"/>
    <x v="1"/>
    <x v="1"/>
    <x v="0"/>
    <n v="19"/>
    <n v="116.92"/>
    <n v="2221.4499999999998"/>
    <s v="2,221.45"/>
    <s v=""/>
    <x v="0"/>
    <x v="0"/>
    <n v="116.92"/>
    <n v="2221.48"/>
    <n v="0"/>
    <n v="2221.48"/>
    <s v="False"/>
    <n v="0"/>
  </r>
  <r>
    <n v="20332"/>
    <x v="54"/>
    <x v="3"/>
    <x v="14"/>
    <x v="5"/>
    <x v="0"/>
    <x v="5"/>
    <n v="9"/>
    <n v="894.09"/>
    <n v="6437.45"/>
    <s v="£6,437.45"/>
    <s v="BULK20"/>
    <x v="0"/>
    <x v="0"/>
    <n v="894.09"/>
    <n v="6437.4480000000003"/>
    <n v="0.2"/>
    <n v="6437.4480000000003"/>
    <s v="False"/>
    <n v="0"/>
  </r>
  <r>
    <n v="20333"/>
    <x v="77"/>
    <x v="0"/>
    <x v="13"/>
    <x v="2"/>
    <x v="1"/>
    <x v="1"/>
    <n v="19"/>
    <n v="410.27"/>
    <n v="7015.59"/>
    <s v="£7,015.59"/>
    <s v="SAVE10"/>
    <x v="1"/>
    <x v="0"/>
    <n v="410.27"/>
    <n v="7015.6169999999993"/>
    <n v="0.1"/>
    <n v="7015.6169999999993"/>
    <s v="False"/>
    <n v="0"/>
  </r>
  <r>
    <n v="20334"/>
    <x v="7"/>
    <x v="0"/>
    <x v="1"/>
    <x v="3"/>
    <x v="0"/>
    <x v="2"/>
    <n v="8"/>
    <n v="188.4"/>
    <n v="1281.1099999999999"/>
    <s v="1,281.11"/>
    <s v="WELCOME15"/>
    <x v="0"/>
    <x v="0"/>
    <n v="188.4"/>
    <n v="1281.1200000000001"/>
    <n v="0.15"/>
    <n v="1281.1200000000001"/>
    <s v="False"/>
    <n v="0"/>
  </r>
  <r>
    <n v="20335"/>
    <x v="61"/>
    <x v="5"/>
    <x v="9"/>
    <x v="2"/>
    <x v="1"/>
    <x v="4"/>
    <n v="20"/>
    <n v="446.62"/>
    <n v="8932.2999999999993"/>
    <s v="£8,932.30"/>
    <s v=""/>
    <x v="0"/>
    <x v="0"/>
    <n v="446.62"/>
    <n v="8932.4"/>
    <n v="0"/>
    <n v="8932.4"/>
    <s v="False"/>
    <n v="0"/>
  </r>
  <r>
    <n v="20336"/>
    <x v="87"/>
    <x v="4"/>
    <x v="12"/>
    <x v="5"/>
    <x v="0"/>
    <x v="0"/>
    <n v="13"/>
    <n v="796.93"/>
    <n v="10360.14"/>
    <s v="£10,360.14"/>
    <s v=""/>
    <x v="0"/>
    <x v="0"/>
    <n v="796.93"/>
    <n v="10360.09"/>
    <n v="0"/>
    <n v="10360.09"/>
    <s v="False"/>
    <n v="0"/>
  </r>
  <r>
    <n v="20337"/>
    <x v="80"/>
    <x v="0"/>
    <x v="1"/>
    <x v="3"/>
    <x v="0"/>
    <x v="4"/>
    <n v="1"/>
    <n v="184.25"/>
    <n v="165.83"/>
    <s v="£165.83"/>
    <s v="SAVE10"/>
    <x v="0"/>
    <x v="0"/>
    <n v="184.25"/>
    <n v="165.82500000000002"/>
    <n v="0.1"/>
    <n v="165.82500000000002"/>
    <s v="False"/>
    <n v="0"/>
  </r>
  <r>
    <n v="20338"/>
    <x v="45"/>
    <x v="4"/>
    <x v="5"/>
    <x v="5"/>
    <x v="0"/>
    <x v="3"/>
    <n v="14"/>
    <n v="876.41"/>
    <n v="12269.77"/>
    <s v="£12,269.77"/>
    <s v=""/>
    <x v="1"/>
    <x v="0"/>
    <n v="876.41"/>
    <n v="12269.74"/>
    <n v="0"/>
    <n v="12269.74"/>
    <s v="False"/>
    <n v="0"/>
  </r>
  <r>
    <n v="20339"/>
    <x v="64"/>
    <x v="5"/>
    <x v="9"/>
    <x v="7"/>
    <x v="0"/>
    <x v="0"/>
    <n v="24"/>
    <n v="67.430000000000007"/>
    <n v="1294.72"/>
    <s v="1,294.72"/>
    <s v="BULK20"/>
    <x v="1"/>
    <x v="0"/>
    <n v="67.430000000000007"/>
    <n v="1294.6560000000002"/>
    <n v="0.2"/>
    <n v="1294.6560000000002"/>
    <s v="False"/>
    <n v="0"/>
  </r>
  <r>
    <n v="20340"/>
    <x v="46"/>
    <x v="3"/>
    <x v="4"/>
    <x v="10"/>
    <x v="0"/>
    <x v="4"/>
    <n v="15"/>
    <n v="174.69"/>
    <n v="2620.41"/>
    <s v="2,620.41"/>
    <s v=""/>
    <x v="1"/>
    <x v="0"/>
    <n v="174.69"/>
    <n v="2620.35"/>
    <n v="0"/>
    <n v="2620.35"/>
    <s v="False"/>
    <n v="0"/>
  </r>
  <r>
    <n v="20341"/>
    <x v="72"/>
    <x v="1"/>
    <x v="2"/>
    <x v="4"/>
    <x v="0"/>
    <x v="4"/>
    <n v="18"/>
    <n v="491"/>
    <n v="8841.34"/>
    <s v="£8,841.34"/>
    <s v=""/>
    <x v="1"/>
    <x v="0"/>
    <n v="491"/>
    <n v="8838"/>
    <n v="0"/>
    <n v="8838"/>
    <s v="False"/>
    <n v="0"/>
  </r>
  <r>
    <n v="20342"/>
    <x v="9"/>
    <x v="2"/>
    <x v="10"/>
    <x v="10"/>
    <x v="0"/>
    <x v="5"/>
    <n v="4"/>
    <n v="164.66"/>
    <n v="526.9"/>
    <s v="£526.90"/>
    <s v="BULK20"/>
    <x v="0"/>
    <x v="0"/>
    <n v="164.66"/>
    <n v="526.91200000000003"/>
    <n v="0.2"/>
    <n v="526.91200000000003"/>
    <s v="False"/>
    <n v="0"/>
  </r>
  <r>
    <n v="20343"/>
    <x v="55"/>
    <x v="0"/>
    <x v="7"/>
    <x v="2"/>
    <x v="1"/>
    <x v="1"/>
    <n v="17"/>
    <n v="447.95"/>
    <n v="7615.07"/>
    <s v="£7,615.07"/>
    <s v=""/>
    <x v="1"/>
    <x v="0"/>
    <n v="447.95"/>
    <n v="7615.15"/>
    <n v="0"/>
    <n v="7615.15"/>
    <s v="False"/>
    <n v="0"/>
  </r>
  <r>
    <n v="20344"/>
    <x v="82"/>
    <x v="3"/>
    <x v="4"/>
    <x v="6"/>
    <x v="1"/>
    <x v="3"/>
    <n v="14"/>
    <n v="36.03"/>
    <n v="504.37"/>
    <s v="£504.37"/>
    <s v=""/>
    <x v="0"/>
    <x v="0"/>
    <n v="36.03"/>
    <n v="504.42"/>
    <n v="0"/>
    <n v="504.42"/>
    <s v="False"/>
    <n v="0"/>
  </r>
  <r>
    <n v="20345"/>
    <x v="67"/>
    <x v="4"/>
    <x v="12"/>
    <x v="5"/>
    <x v="0"/>
    <x v="2"/>
    <n v="14"/>
    <n v="893"/>
    <n v="11874.05"/>
    <s v="£11,874.05"/>
    <s v="CLEAR5"/>
    <x v="1"/>
    <x v="0"/>
    <n v="893"/>
    <n v="11876.9"/>
    <n v="0.05"/>
    <n v="11876.9"/>
    <s v="False"/>
    <n v="0"/>
  </r>
  <r>
    <n v="20346"/>
    <x v="39"/>
    <x v="2"/>
    <x v="10"/>
    <x v="10"/>
    <x v="0"/>
    <x v="2"/>
    <n v="5"/>
    <n v="168"/>
    <n v="838.99"/>
    <s v="£838.99"/>
    <s v=""/>
    <x v="0"/>
    <x v="0"/>
    <n v="168"/>
    <n v="840"/>
    <n v="0"/>
    <n v="840"/>
    <s v="False"/>
    <n v="0"/>
  </r>
  <r>
    <n v="20347"/>
    <x v="41"/>
    <x v="5"/>
    <x v="8"/>
    <x v="5"/>
    <x v="0"/>
    <x v="2"/>
    <n v="18"/>
    <n v="901"/>
    <n v="14588.99"/>
    <s v="£14,588.99"/>
    <s v="SAVE10"/>
    <x v="0"/>
    <x v="0"/>
    <n v="901"/>
    <n v="14596.2"/>
    <n v="0.1"/>
    <n v="14596.2"/>
    <s v="False"/>
    <n v="0"/>
  </r>
  <r>
    <n v="20348"/>
    <x v="15"/>
    <x v="0"/>
    <x v="13"/>
    <x v="9"/>
    <x v="1"/>
    <x v="0"/>
    <n v="19"/>
    <n v="299"/>
    <n v="5686.91"/>
    <s v="£5,686.91"/>
    <s v=""/>
    <x v="1"/>
    <x v="0"/>
    <n v="299"/>
    <n v="5681"/>
    <n v="0"/>
    <n v="5681"/>
    <s v="False"/>
    <n v="0"/>
  </r>
  <r>
    <n v="20349"/>
    <x v="54"/>
    <x v="3"/>
    <x v="4"/>
    <x v="6"/>
    <x v="1"/>
    <x v="5"/>
    <n v="15"/>
    <n v="37.799999999999997"/>
    <n v="567.01"/>
    <s v="£567.01"/>
    <s v=""/>
    <x v="0"/>
    <x v="0"/>
    <n v="37.799999999999997"/>
    <n v="567"/>
    <n v="0"/>
    <n v="567"/>
    <s v="False"/>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484067-C33A-4418-8C09-DFBEBDB7B6B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1:B68" firstHeaderRow="1" firstDataRow="1" firstDataCol="1"/>
  <pivotFields count="22">
    <pivotField showAll="0"/>
    <pivotField numFmtId="14" showAll="0">
      <items count="89">
        <item x="36"/>
        <item x="7"/>
        <item x="87"/>
        <item x="81"/>
        <item x="86"/>
        <item x="39"/>
        <item x="44"/>
        <item x="47"/>
        <item x="85"/>
        <item x="45"/>
        <item x="35"/>
        <item x="50"/>
        <item x="42"/>
        <item x="68"/>
        <item x="20"/>
        <item x="84"/>
        <item x="10"/>
        <item x="64"/>
        <item x="62"/>
        <item x="0"/>
        <item x="79"/>
        <item x="12"/>
        <item x="73"/>
        <item x="76"/>
        <item x="59"/>
        <item x="66"/>
        <item x="74"/>
        <item x="51"/>
        <item x="1"/>
        <item x="14"/>
        <item x="72"/>
        <item x="41"/>
        <item x="75"/>
        <item x="2"/>
        <item x="31"/>
        <item x="57"/>
        <item x="29"/>
        <item x="9"/>
        <item x="82"/>
        <item x="8"/>
        <item x="18"/>
        <item x="11"/>
        <item x="60"/>
        <item x="19"/>
        <item x="28"/>
        <item x="37"/>
        <item x="78"/>
        <item x="55"/>
        <item x="71"/>
        <item x="25"/>
        <item x="13"/>
        <item x="23"/>
        <item x="16"/>
        <item x="27"/>
        <item x="26"/>
        <item x="22"/>
        <item x="63"/>
        <item x="21"/>
        <item x="65"/>
        <item x="6"/>
        <item x="49"/>
        <item x="17"/>
        <item x="61"/>
        <item x="33"/>
        <item x="24"/>
        <item x="48"/>
        <item x="4"/>
        <item x="46"/>
        <item x="80"/>
        <item x="32"/>
        <item x="15"/>
        <item x="53"/>
        <item x="52"/>
        <item x="43"/>
        <item x="67"/>
        <item x="3"/>
        <item x="69"/>
        <item x="34"/>
        <item x="70"/>
        <item x="38"/>
        <item x="58"/>
        <item x="30"/>
        <item x="83"/>
        <item x="40"/>
        <item x="56"/>
        <item x="5"/>
        <item x="54"/>
        <item x="77"/>
        <item t="default"/>
      </items>
    </pivotField>
    <pivotField showAll="0">
      <items count="7">
        <item x="5"/>
        <item x="0"/>
        <item x="1"/>
        <item x="3"/>
        <item x="2"/>
        <item x="4"/>
        <item t="default"/>
      </items>
    </pivotField>
    <pivotField showAll="0"/>
    <pivotField showAll="0"/>
    <pivotField showAll="0"/>
    <pivotField axis="axisRow" showAll="0">
      <items count="7">
        <item x="0"/>
        <item x="1"/>
        <item x="4"/>
        <item x="5"/>
        <item x="2"/>
        <item x="3"/>
        <item t="default"/>
      </items>
    </pivotField>
    <pivotField numFmtId="1" showAll="0"/>
    <pivotField numFmtId="164" showAll="0"/>
    <pivotField showAll="0"/>
    <pivotField showAll="0"/>
    <pivotField showAll="0"/>
    <pivotField showAll="0">
      <items count="3">
        <item x="1"/>
        <item x="0"/>
        <item t="default"/>
      </items>
    </pivotField>
    <pivotField showAll="0">
      <items count="3">
        <item x="0"/>
        <item x="1"/>
        <item t="default"/>
      </items>
    </pivotField>
    <pivotField showAll="0"/>
    <pivotField numFmtId="2" showAll="0"/>
    <pivotField numFmtId="2" showAll="0"/>
    <pivotField dataField="1" numFmtId="16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Items count="1">
    <i/>
  </colItems>
  <dataFields count="1">
    <dataField name="Sum of Net_Revenue" fld="17" baseField="0" baseItem="0" numFmtId="164"/>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 chart="3" format="12">
      <pivotArea type="data" outline="0" fieldPosition="0">
        <references count="2">
          <reference field="4294967294" count="1" selected="0">
            <x v="0"/>
          </reference>
          <reference field="6" count="1" selected="0">
            <x v="3"/>
          </reference>
        </references>
      </pivotArea>
    </chartFormat>
    <chartFormat chart="3" format="13">
      <pivotArea type="data" outline="0" fieldPosition="0">
        <references count="2">
          <reference field="4294967294" count="1" selected="0">
            <x v="0"/>
          </reference>
          <reference field="6" count="1" selected="0">
            <x v="4"/>
          </reference>
        </references>
      </pivotArea>
    </chartFormat>
    <chartFormat chart="3"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5E2F1A-63B0-48C3-9939-774E2C97972D}"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location ref="A45:C58" firstHeaderRow="0" firstDataRow="1" firstDataCol="1"/>
  <pivotFields count="3">
    <pivotField dataField="1" subtotalTop="0" showAll="0" defaultSubtotal="0"/>
    <pivotField axis="axisRow" allDrilled="1" showAll="0" dataSourceSort="1" defaultAttributeDrillState="1">
      <items count="13">
        <item x="0"/>
        <item x="1"/>
        <item x="2"/>
        <item x="3"/>
        <item x="4"/>
        <item x="5"/>
        <item x="6"/>
        <item x="7"/>
        <item x="8"/>
        <item x="9"/>
        <item x="10"/>
        <item x="11"/>
        <item t="default"/>
      </items>
    </pivotField>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ID" fld="0" subtotal="count" baseField="0" baseItem="0"/>
    <dataField name="Sum of Returned_value" fld="2" baseField="0" baseItem="0"/>
  </dataFields>
  <formats count="4">
    <format dxfId="4">
      <pivotArea grandRow="1" outline="0" collapsedLevelsAreSubtotals="1" fieldPosition="0"/>
    </format>
    <format dxfId="3">
      <pivotArea dataOnly="0" labelOnly="1" grandRow="1" outline="0" fieldPosition="0"/>
    </format>
    <format dxfId="2">
      <pivotArea field="1" type="button" dataOnly="0" labelOnly="1" outline="0" axis="axisRow" fieldPosition="0"/>
    </format>
    <format dxfId="1">
      <pivotArea dataOnly="0" labelOnly="1" outline="0" fieldPosition="0">
        <references count="1">
          <reference field="4294967294" count="2">
            <x v="0"/>
            <x v="1"/>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etha_Homework.xlsx!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33E3FB-4AA5-4709-AB6B-AF46AF848BF3}"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B37" firstHeaderRow="1" firstDataRow="1" firstDataCol="1"/>
  <pivotFields count="22">
    <pivotField showAll="0"/>
    <pivotField numFmtId="14" showAll="0">
      <items count="89">
        <item x="36"/>
        <item x="7"/>
        <item x="87"/>
        <item x="81"/>
        <item x="86"/>
        <item x="39"/>
        <item x="44"/>
        <item x="47"/>
        <item x="85"/>
        <item x="45"/>
        <item x="35"/>
        <item x="50"/>
        <item x="42"/>
        <item x="68"/>
        <item x="20"/>
        <item x="84"/>
        <item x="10"/>
        <item x="64"/>
        <item x="62"/>
        <item x="0"/>
        <item x="79"/>
        <item x="12"/>
        <item x="73"/>
        <item x="76"/>
        <item x="59"/>
        <item x="66"/>
        <item x="74"/>
        <item x="51"/>
        <item x="1"/>
        <item x="14"/>
        <item x="72"/>
        <item x="41"/>
        <item x="75"/>
        <item x="2"/>
        <item x="31"/>
        <item x="57"/>
        <item x="29"/>
        <item x="9"/>
        <item x="82"/>
        <item x="8"/>
        <item x="18"/>
        <item x="11"/>
        <item x="60"/>
        <item x="19"/>
        <item x="28"/>
        <item x="37"/>
        <item x="78"/>
        <item x="55"/>
        <item x="71"/>
        <item x="25"/>
        <item x="13"/>
        <item x="23"/>
        <item x="16"/>
        <item x="27"/>
        <item x="26"/>
        <item x="22"/>
        <item x="63"/>
        <item x="21"/>
        <item x="65"/>
        <item x="6"/>
        <item x="49"/>
        <item x="17"/>
        <item x="61"/>
        <item x="33"/>
        <item x="24"/>
        <item x="48"/>
        <item x="4"/>
        <item x="46"/>
        <item x="80"/>
        <item x="32"/>
        <item x="15"/>
        <item x="53"/>
        <item x="52"/>
        <item x="43"/>
        <item x="67"/>
        <item x="3"/>
        <item x="69"/>
        <item x="34"/>
        <item x="70"/>
        <item x="38"/>
        <item x="58"/>
        <item x="30"/>
        <item x="83"/>
        <item x="40"/>
        <item x="56"/>
        <item x="5"/>
        <item x="54"/>
        <item x="77"/>
        <item t="default"/>
      </items>
    </pivotField>
    <pivotField showAll="0">
      <items count="7">
        <item x="5"/>
        <item x="0"/>
        <item x="1"/>
        <item x="3"/>
        <item x="2"/>
        <item x="4"/>
        <item t="default"/>
      </items>
    </pivotField>
    <pivotField showAll="0"/>
    <pivotField axis="axisRow" showAll="0">
      <items count="13">
        <item x="1"/>
        <item x="6"/>
        <item x="8"/>
        <item x="7"/>
        <item x="0"/>
        <item x="4"/>
        <item x="5"/>
        <item x="3"/>
        <item x="9"/>
        <item x="10"/>
        <item x="2"/>
        <item x="11"/>
        <item t="default"/>
      </items>
    </pivotField>
    <pivotField showAll="0"/>
    <pivotField showAll="0"/>
    <pivotField numFmtId="1" showAll="0"/>
    <pivotField numFmtId="164" showAll="0"/>
    <pivotField showAll="0"/>
    <pivotField showAll="0"/>
    <pivotField showAll="0"/>
    <pivotField showAll="0">
      <items count="3">
        <item x="1"/>
        <item x="0"/>
        <item t="default"/>
      </items>
    </pivotField>
    <pivotField showAll="0">
      <items count="3">
        <item x="0"/>
        <item x="1"/>
        <item t="default"/>
      </items>
    </pivotField>
    <pivotField showAll="0"/>
    <pivotField numFmtId="2" showAll="0"/>
    <pivotField numFmtId="2" showAll="0"/>
    <pivotField dataField="1" numFmtId="164"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Net_Revenue" fld="17" baseField="0" baseItem="0" numFmtId="164"/>
  </dataFields>
  <chartFormats count="1">
    <chartFormat chart="2"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3E1B2-3EE3-4519-BD4D-8A52819B11C1}"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C18" firstHeaderRow="0" firstDataRow="1" firstDataCol="1"/>
  <pivotFields count="22">
    <pivotField showAll="0"/>
    <pivotField numFmtId="14" showAll="0">
      <items count="89">
        <item x="36"/>
        <item x="7"/>
        <item x="87"/>
        <item x="81"/>
        <item x="86"/>
        <item x="39"/>
        <item x="44"/>
        <item x="47"/>
        <item x="85"/>
        <item x="45"/>
        <item x="35"/>
        <item x="50"/>
        <item x="42"/>
        <item x="68"/>
        <item x="20"/>
        <item x="84"/>
        <item x="10"/>
        <item x="64"/>
        <item x="62"/>
        <item x="0"/>
        <item x="79"/>
        <item x="12"/>
        <item x="73"/>
        <item x="76"/>
        <item x="59"/>
        <item x="66"/>
        <item x="74"/>
        <item x="51"/>
        <item x="1"/>
        <item x="14"/>
        <item x="72"/>
        <item x="41"/>
        <item x="75"/>
        <item x="2"/>
        <item x="31"/>
        <item x="57"/>
        <item x="29"/>
        <item x="9"/>
        <item x="82"/>
        <item x="8"/>
        <item x="18"/>
        <item x="11"/>
        <item x="60"/>
        <item x="19"/>
        <item x="28"/>
        <item x="37"/>
        <item x="78"/>
        <item x="55"/>
        <item x="71"/>
        <item x="25"/>
        <item x="13"/>
        <item x="23"/>
        <item x="16"/>
        <item x="27"/>
        <item x="26"/>
        <item x="22"/>
        <item x="63"/>
        <item x="21"/>
        <item x="65"/>
        <item x="6"/>
        <item x="49"/>
        <item x="17"/>
        <item x="61"/>
        <item x="33"/>
        <item x="24"/>
        <item x="48"/>
        <item x="4"/>
        <item x="46"/>
        <item x="80"/>
        <item x="32"/>
        <item x="15"/>
        <item x="53"/>
        <item x="52"/>
        <item x="43"/>
        <item x="67"/>
        <item x="3"/>
        <item x="69"/>
        <item x="34"/>
        <item x="70"/>
        <item x="38"/>
        <item x="58"/>
        <item x="30"/>
        <item x="83"/>
        <item x="40"/>
        <item x="56"/>
        <item x="5"/>
        <item x="54"/>
        <item x="77"/>
        <item t="default"/>
      </items>
    </pivotField>
    <pivotField showAll="0">
      <items count="7">
        <item x="5"/>
        <item x="0"/>
        <item x="1"/>
        <item x="3"/>
        <item x="2"/>
        <item x="4"/>
        <item t="default"/>
      </items>
    </pivotField>
    <pivotField showAll="0"/>
    <pivotField showAll="0">
      <items count="13">
        <item x="1"/>
        <item x="6"/>
        <item x="8"/>
        <item x="7"/>
        <item x="0"/>
        <item x="4"/>
        <item x="5"/>
        <item x="3"/>
        <item x="9"/>
        <item x="10"/>
        <item x="2"/>
        <item x="11"/>
        <item t="default"/>
      </items>
    </pivotField>
    <pivotField axis="axisRow" showAll="0">
      <items count="3">
        <item x="0"/>
        <item x="1"/>
        <item t="default"/>
      </items>
    </pivotField>
    <pivotField showAll="0"/>
    <pivotField dataField="1" numFmtId="1" showAll="0"/>
    <pivotField numFmtId="164" showAll="0"/>
    <pivotField showAll="0"/>
    <pivotField showAll="0"/>
    <pivotField showAll="0"/>
    <pivotField showAll="0">
      <items count="3">
        <item x="1"/>
        <item x="0"/>
        <item t="default"/>
      </items>
    </pivotField>
    <pivotField showAll="0">
      <items count="3">
        <item x="0"/>
        <item x="1"/>
        <item t="default"/>
      </items>
    </pivotField>
    <pivotField showAll="0"/>
    <pivotField numFmtId="2" showAll="0"/>
    <pivotField numFmtId="2" showAll="0"/>
    <pivotField dataField="1" numFmtId="16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Fields count="1">
    <field x="-2"/>
  </colFields>
  <colItems count="2">
    <i>
      <x/>
    </i>
    <i i="1">
      <x v="1"/>
    </i>
  </colItems>
  <dataFields count="2">
    <dataField name="Sum of Net_Revenue" fld="17" baseField="0" baseItem="0" numFmtId="164"/>
    <dataField name="Sum of Units" fld="7" baseField="0" baseItem="0" numFmtId="1"/>
  </dataFields>
  <chartFormats count="6">
    <chartFormat chart="4" format="12" series="1">
      <pivotArea type="data" grandCol="1" outline="0" fieldPosition="0">
        <references count="1">
          <reference field="4294967294" count="1" selected="0">
            <x v="0"/>
          </reference>
        </references>
      </pivotArea>
    </chartFormat>
    <chartFormat chart="4" format="13" series="1">
      <pivotArea type="data" grandCol="1"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 chart="4" format="40" series="1">
      <pivotArea type="data" outline="0" fieldPosition="0">
        <references count="2">
          <reference field="4294967294" count="1" selected="0">
            <x v="0"/>
          </reference>
          <reference field="5" count="1" selected="0">
            <x v="1"/>
          </reference>
        </references>
      </pivotArea>
    </chartFormat>
    <chartFormat chart="4" format="41" series="1">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0A58FD-37E0-451D-A1E1-7FDB437AEDDD}"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B11" firstHeaderRow="1" firstDataRow="1" firstDataCol="1"/>
  <pivotFields count="22">
    <pivotField showAll="0"/>
    <pivotField numFmtId="14" showAll="0">
      <items count="89">
        <item x="36"/>
        <item x="7"/>
        <item x="87"/>
        <item x="81"/>
        <item x="86"/>
        <item x="39"/>
        <item x="44"/>
        <item x="47"/>
        <item x="85"/>
        <item x="45"/>
        <item x="35"/>
        <item x="50"/>
        <item x="42"/>
        <item x="68"/>
        <item x="20"/>
        <item x="84"/>
        <item x="10"/>
        <item x="64"/>
        <item x="62"/>
        <item x="0"/>
        <item x="79"/>
        <item x="12"/>
        <item x="73"/>
        <item x="76"/>
        <item x="59"/>
        <item x="66"/>
        <item x="74"/>
        <item x="51"/>
        <item x="1"/>
        <item x="14"/>
        <item x="72"/>
        <item x="41"/>
        <item x="75"/>
        <item x="2"/>
        <item x="31"/>
        <item x="57"/>
        <item x="29"/>
        <item x="9"/>
        <item x="82"/>
        <item x="8"/>
        <item x="18"/>
        <item x="11"/>
        <item x="60"/>
        <item x="19"/>
        <item x="28"/>
        <item x="37"/>
        <item x="78"/>
        <item x="55"/>
        <item x="71"/>
        <item x="25"/>
        <item x="13"/>
        <item x="23"/>
        <item x="16"/>
        <item x="27"/>
        <item x="26"/>
        <item x="22"/>
        <item x="63"/>
        <item x="21"/>
        <item x="65"/>
        <item x="6"/>
        <item x="49"/>
        <item x="17"/>
        <item x="61"/>
        <item x="33"/>
        <item x="24"/>
        <item x="48"/>
        <item x="4"/>
        <item x="46"/>
        <item x="80"/>
        <item x="32"/>
        <item x="15"/>
        <item x="53"/>
        <item x="52"/>
        <item x="43"/>
        <item x="67"/>
        <item x="3"/>
        <item x="69"/>
        <item x="34"/>
        <item x="70"/>
        <item x="38"/>
        <item x="58"/>
        <item x="30"/>
        <item x="83"/>
        <item x="40"/>
        <item x="56"/>
        <item x="5"/>
        <item x="54"/>
        <item x="77"/>
        <item t="default"/>
      </items>
    </pivotField>
    <pivotField axis="axisRow" showAll="0">
      <items count="7">
        <item x="5"/>
        <item x="0"/>
        <item x="1"/>
        <item x="3"/>
        <item x="2"/>
        <item x="4"/>
        <item t="default"/>
      </items>
    </pivotField>
    <pivotField showAll="0">
      <items count="16">
        <item x="11"/>
        <item x="5"/>
        <item x="8"/>
        <item x="1"/>
        <item x="10"/>
        <item x="3"/>
        <item x="4"/>
        <item x="14"/>
        <item x="9"/>
        <item x="7"/>
        <item x="2"/>
        <item x="12"/>
        <item x="13"/>
        <item x="6"/>
        <item x="0"/>
        <item t="default"/>
      </items>
    </pivotField>
    <pivotField showAll="0"/>
    <pivotField showAll="0">
      <items count="3">
        <item x="0"/>
        <item x="1"/>
        <item t="default"/>
      </items>
    </pivotField>
    <pivotField showAll="0"/>
    <pivotField numFmtId="1" showAll="0"/>
    <pivotField numFmtId="164" showAll="0"/>
    <pivotField showAll="0"/>
    <pivotField showAll="0"/>
    <pivotField showAll="0"/>
    <pivotField showAll="0">
      <items count="3">
        <item x="1"/>
        <item x="0"/>
        <item t="default"/>
      </items>
    </pivotField>
    <pivotField showAll="0">
      <items count="3">
        <item x="0"/>
        <item x="1"/>
        <item t="default"/>
      </items>
    </pivotField>
    <pivotField showAll="0"/>
    <pivotField numFmtId="2" showAll="0"/>
    <pivotField numFmtId="2" showAll="0"/>
    <pivotField dataField="1" numFmtId="16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Net_Revenue" fld="17"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6E5538E-89F1-4250-8C64-75E80180C855}" sourceName="Months (Date)">
  <pivotTables>
    <pivotTable tabId="24" name="PivotTable13"/>
    <pivotTable tabId="24" name="PivotTable14"/>
    <pivotTable tabId="24" name="PivotTable15"/>
    <pivotTable tabId="24" name="PivotTable1"/>
  </pivotTables>
  <data>
    <tabular pivotCacheId="1151914585">
      <items count="14">
        <i x="1" s="1"/>
        <i x="2" s="1"/>
        <i x="3" s="1"/>
        <i x="4" s="1" nd="1"/>
        <i x="5"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C6BF779B-734F-4431-A2C6-771EE599D7AB}" sourceName="CustomerType">
  <pivotTables>
    <pivotTable tabId="24" name="PivotTable15"/>
    <pivotTable tabId="24" name="PivotTable13"/>
    <pivotTable tabId="24" name="PivotTable14"/>
    <pivotTable tabId="24" name="PivotTable1"/>
  </pivotTables>
  <data>
    <tabular pivotCacheId="115191458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CFAADD-3500-4F31-B970-A2EB9CBB02E7}" sourceName="Region">
  <pivotTables>
    <pivotTable tabId="24" name="PivotTable1"/>
    <pivotTable tabId="24" name="PivotTable15"/>
    <pivotTable tabId="24" name="PivotTable13"/>
    <pivotTable tabId="24" name="PivotTable14"/>
  </pivotTables>
  <data>
    <tabular pivotCacheId="1151914585">
      <items count="6">
        <i x="5" s="1"/>
        <i x="0" s="1"/>
        <i x="1"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B7F5DD86-F15D-4051-B4E4-D88F4C33F00E}" sourceName="Returned">
  <pivotTables>
    <pivotTable tabId="24" name="PivotTable13"/>
    <pivotTable tabId="24" name="PivotTable15"/>
    <pivotTable tabId="24" name="PivotTable1"/>
    <pivotTable tabId="24" name="PivotTable14"/>
  </pivotTables>
  <data>
    <tabular pivotCacheId="115191458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D5D4F589-D64A-4075-A8A4-829966F178EE}" cache="Slicer_Months__Date" caption="Months (Date)" style="SlicerStyleLight4" rowHeight="241300"/>
  <slicer name="CustomerType" xr10:uid="{AA3C0E4F-524A-4520-8CF3-B2A0B839A56C}" cache="Slicer_CustomerType" caption="CustomerType" style="SlicerStyleLight4" rowHeight="241300"/>
  <slicer name="Region" xr10:uid="{9922F173-E112-42A7-95F2-11CC4F842D9B}" cache="Slicer_Region" caption="Region" style="SlicerStyleLight4" rowHeight="241300"/>
  <slicer name="Returned" xr10:uid="{E574E4C6-3D21-4CF7-A413-54EDCF698A89}" cache="Slicer_Returned" caption="Returned"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5A3ECE-0F32-4071-BF66-D966B9389573}" name="Table13" displayName="Table13" ref="A1:T351" totalsRowShown="0">
  <autoFilter ref="A1:T351" xr:uid="{F85A3ECE-0F32-4071-BF66-D966B9389573}"/>
  <tableColumns count="20">
    <tableColumn id="1" xr3:uid="{76EB6579-D908-4BB3-8954-0AE280572DB5}" name="OrderID"/>
    <tableColumn id="2" xr3:uid="{B4A30B0C-B1C7-4EE1-A203-D8B91CB99C71}" name="Date" dataDxfId="13"/>
    <tableColumn id="3" xr3:uid="{C198DB76-4943-4A81-AD7B-9F378551CB5A}" name="Region"/>
    <tableColumn id="4" xr3:uid="{6A0CF826-7249-4711-8B86-09395054C8D2}" name="Store"/>
    <tableColumn id="5" xr3:uid="{4384DBA9-8036-4921-8378-18BD34A2CD07}" name="Product"/>
    <tableColumn id="6" xr3:uid="{C3AD188B-B4AB-4B22-BF05-C00E44099C53}" name="Category"/>
    <tableColumn id="7" xr3:uid="{2266A98B-7D4A-444C-A6AE-181E1C7D0362}" name="SalesRep"/>
    <tableColumn id="8" xr3:uid="{A64CF0B7-7574-43C4-844E-CF6826CFF952}" name="Units" dataDxfId="12"/>
    <tableColumn id="10" xr3:uid="{62C26B25-9045-4A41-88F6-883078C93984}" name="UnitPrice" dataDxfId="11"/>
    <tableColumn id="11" xr3:uid="{943E37A7-C8BC-442A-9ECC-9987E9EB53FC}" name="Revenue" dataDxfId="10"/>
    <tableColumn id="12" xr3:uid="{0CC3E39A-FE17-4D90-908A-0D955AA3F104}" name="Revenue3" dataDxfId="9"/>
    <tableColumn id="13" xr3:uid="{C73840B5-3FC9-430A-A22E-641D4F277C0A}" name="DiscountCode"/>
    <tableColumn id="14" xr3:uid="{026BF620-B17D-4F46-B27A-C25E4048D8DF}" name="CustomerType"/>
    <tableColumn id="15" xr3:uid="{45EE9778-8BFA-4985-9FF8-F4E86DF13FE3}" name="Returned"/>
    <tableColumn id="16" xr3:uid="{BBD5EE24-3C84-4F5B-81B8-540DC85A928F}" name="UnitPrice_Num"/>
    <tableColumn id="18" xr3:uid="{1AF92600-645F-4B5E-B6D8-2AEA813C0F95}" name="Revenue_Num" dataDxfId="8"/>
    <tableColumn id="19" xr3:uid="{5D0FE495-0357-46D7-8F3C-133D10F62071}" name="Discount Rate" dataDxfId="7"/>
    <tableColumn id="20" xr3:uid="{1C326859-1387-4B81-A8E0-37732573EE01}" name="Net_Revenue" dataDxfId="6">
      <calculatedColumnFormula>Table13[[#This Row],[Units]]*Table13[[#This Row],[UnitPrice]]*(1-Table13[[#This Row],[Discount Rate]])</calculatedColumnFormula>
    </tableColumn>
    <tableColumn id="21" xr3:uid="{AD036BB1-EB6D-4837-A3A0-4DC1996BCE53}" name="Data IssueFlag"/>
    <tableColumn id="22" xr3:uid="{198C85D3-890A-4B9B-B494-3F3DEE779CCE}" name="Returned_value" dataDxfId="5">
      <calculatedColumnFormula>IF(Table13[[#This Row],[Returned]]="N",0,1)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51"/>
  <sheetViews>
    <sheetView tabSelected="1" workbookViewId="0">
      <pane ySplit="1" topLeftCell="A2" activePane="bottomLeft" state="frozen"/>
      <selection pane="bottomLeft" activeCell="B1" sqref="B1"/>
    </sheetView>
  </sheetViews>
  <sheetFormatPr defaultRowHeight="14.5" x14ac:dyDescent="0.35"/>
  <cols>
    <col min="1" max="1" width="10" customWidth="1"/>
    <col min="2" max="3" width="14" customWidth="1"/>
    <col min="4" max="4" width="16" customWidth="1"/>
    <col min="5" max="5" width="18" customWidth="1"/>
    <col min="6" max="6" width="14" customWidth="1"/>
    <col min="7" max="7" width="12" customWidth="1"/>
    <col min="8" max="8" width="8" customWidth="1"/>
    <col min="9" max="10" width="12" customWidth="1"/>
    <col min="11" max="12" width="14" customWidth="1"/>
    <col min="13" max="13" width="10"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v>20000</v>
      </c>
      <c r="B2" t="s">
        <v>13</v>
      </c>
      <c r="C2" t="s">
        <v>14</v>
      </c>
      <c r="D2" t="s">
        <v>15</v>
      </c>
      <c r="E2" t="s">
        <v>16</v>
      </c>
      <c r="F2" t="s">
        <v>17</v>
      </c>
      <c r="G2" t="s">
        <v>18</v>
      </c>
      <c r="H2">
        <v>18</v>
      </c>
      <c r="I2" t="s">
        <v>19</v>
      </c>
      <c r="J2" t="s">
        <v>20</v>
      </c>
      <c r="M2" t="s">
        <v>21</v>
      </c>
    </row>
    <row r="3" spans="1:13" x14ac:dyDescent="0.35">
      <c r="A3">
        <v>20001</v>
      </c>
      <c r="B3" t="s">
        <v>22</v>
      </c>
      <c r="C3" t="s">
        <v>23</v>
      </c>
      <c r="D3" t="s">
        <v>24</v>
      </c>
      <c r="E3" t="s">
        <v>25</v>
      </c>
      <c r="F3" t="s">
        <v>26</v>
      </c>
      <c r="G3" t="s">
        <v>27</v>
      </c>
      <c r="H3">
        <v>15</v>
      </c>
      <c r="I3" t="s">
        <v>28</v>
      </c>
      <c r="J3" t="s">
        <v>29</v>
      </c>
      <c r="L3" t="s">
        <v>30</v>
      </c>
      <c r="M3" t="s">
        <v>21</v>
      </c>
    </row>
    <row r="4" spans="1:13" x14ac:dyDescent="0.35">
      <c r="A4">
        <v>20002</v>
      </c>
      <c r="B4" t="s">
        <v>31</v>
      </c>
      <c r="C4" t="s">
        <v>32</v>
      </c>
      <c r="D4" t="s">
        <v>33</v>
      </c>
      <c r="E4" t="s">
        <v>34</v>
      </c>
      <c r="F4" t="s">
        <v>26</v>
      </c>
      <c r="G4" t="s">
        <v>35</v>
      </c>
      <c r="H4">
        <v>6</v>
      </c>
      <c r="I4" t="s">
        <v>36</v>
      </c>
      <c r="J4" t="s">
        <v>37</v>
      </c>
      <c r="L4" t="s">
        <v>38</v>
      </c>
      <c r="M4" t="s">
        <v>21</v>
      </c>
    </row>
    <row r="5" spans="1:13" x14ac:dyDescent="0.35">
      <c r="A5">
        <v>20003</v>
      </c>
      <c r="B5" t="s">
        <v>39</v>
      </c>
      <c r="C5" t="s">
        <v>40</v>
      </c>
      <c r="D5" t="s">
        <v>41</v>
      </c>
      <c r="E5" t="s">
        <v>42</v>
      </c>
      <c r="F5" t="s">
        <v>17</v>
      </c>
      <c r="G5" t="s">
        <v>43</v>
      </c>
      <c r="H5">
        <v>18</v>
      </c>
      <c r="I5" t="s">
        <v>44</v>
      </c>
      <c r="J5" t="s">
        <v>45</v>
      </c>
      <c r="K5" t="s">
        <v>46</v>
      </c>
      <c r="L5" t="s">
        <v>30</v>
      </c>
      <c r="M5" t="s">
        <v>21</v>
      </c>
    </row>
    <row r="6" spans="1:13" x14ac:dyDescent="0.35">
      <c r="A6">
        <v>20004</v>
      </c>
      <c r="B6" t="s">
        <v>47</v>
      </c>
      <c r="C6" t="s">
        <v>48</v>
      </c>
      <c r="D6" t="s">
        <v>49</v>
      </c>
      <c r="E6" t="s">
        <v>50</v>
      </c>
      <c r="F6" t="s">
        <v>17</v>
      </c>
      <c r="G6" t="s">
        <v>35</v>
      </c>
      <c r="H6">
        <v>1</v>
      </c>
      <c r="I6" t="s">
        <v>51</v>
      </c>
      <c r="J6" t="s">
        <v>52</v>
      </c>
      <c r="L6" t="s">
        <v>30</v>
      </c>
      <c r="M6" t="s">
        <v>21</v>
      </c>
    </row>
    <row r="7" spans="1:13" x14ac:dyDescent="0.35">
      <c r="A7">
        <v>20005</v>
      </c>
      <c r="B7" t="s">
        <v>53</v>
      </c>
      <c r="C7" t="s">
        <v>54</v>
      </c>
      <c r="D7" t="s">
        <v>55</v>
      </c>
      <c r="E7" t="s">
        <v>56</v>
      </c>
      <c r="F7" t="s">
        <v>17</v>
      </c>
      <c r="G7" t="s">
        <v>57</v>
      </c>
      <c r="H7">
        <v>18</v>
      </c>
      <c r="I7" t="s">
        <v>58</v>
      </c>
      <c r="J7" t="s">
        <v>59</v>
      </c>
      <c r="L7" t="s">
        <v>60</v>
      </c>
      <c r="M7" t="s">
        <v>21</v>
      </c>
    </row>
    <row r="8" spans="1:13" x14ac:dyDescent="0.35">
      <c r="A8">
        <v>20006</v>
      </c>
      <c r="B8" t="s">
        <v>61</v>
      </c>
      <c r="C8" t="s">
        <v>62</v>
      </c>
      <c r="D8" t="s">
        <v>55</v>
      </c>
      <c r="E8" t="s">
        <v>16</v>
      </c>
      <c r="F8" t="s">
        <v>17</v>
      </c>
      <c r="G8" t="s">
        <v>35</v>
      </c>
      <c r="H8">
        <v>19</v>
      </c>
      <c r="I8" t="s">
        <v>63</v>
      </c>
      <c r="J8" t="s">
        <v>64</v>
      </c>
      <c r="K8" t="s">
        <v>65</v>
      </c>
      <c r="L8" t="s">
        <v>30</v>
      </c>
      <c r="M8" t="s">
        <v>21</v>
      </c>
    </row>
    <row r="9" spans="1:13" x14ac:dyDescent="0.35">
      <c r="A9">
        <v>20007</v>
      </c>
      <c r="B9" t="s">
        <v>66</v>
      </c>
      <c r="C9" t="s">
        <v>67</v>
      </c>
      <c r="D9" t="s">
        <v>68</v>
      </c>
      <c r="E9" t="s">
        <v>69</v>
      </c>
      <c r="F9" t="s">
        <v>26</v>
      </c>
      <c r="G9" t="s">
        <v>43</v>
      </c>
      <c r="H9">
        <v>13</v>
      </c>
      <c r="I9" t="s">
        <v>70</v>
      </c>
      <c r="J9" t="s">
        <v>71</v>
      </c>
      <c r="K9" t="s">
        <v>72</v>
      </c>
      <c r="L9" t="s">
        <v>60</v>
      </c>
      <c r="M9" t="s">
        <v>21</v>
      </c>
    </row>
    <row r="10" spans="1:13" x14ac:dyDescent="0.35">
      <c r="A10">
        <v>20008</v>
      </c>
      <c r="B10" t="s">
        <v>73</v>
      </c>
      <c r="C10" t="s">
        <v>74</v>
      </c>
      <c r="D10" t="s">
        <v>75</v>
      </c>
      <c r="E10" t="s">
        <v>42</v>
      </c>
      <c r="F10" t="s">
        <v>17</v>
      </c>
      <c r="G10" t="s">
        <v>76</v>
      </c>
      <c r="H10">
        <v>9</v>
      </c>
      <c r="I10" t="s">
        <v>77</v>
      </c>
      <c r="J10" t="s">
        <v>78</v>
      </c>
      <c r="L10" t="s">
        <v>30</v>
      </c>
      <c r="M10" t="s">
        <v>21</v>
      </c>
    </row>
    <row r="11" spans="1:13" x14ac:dyDescent="0.35">
      <c r="A11">
        <v>20009</v>
      </c>
      <c r="B11" t="s">
        <v>79</v>
      </c>
      <c r="C11" t="s">
        <v>80</v>
      </c>
      <c r="D11" t="s">
        <v>75</v>
      </c>
      <c r="E11" t="s">
        <v>42</v>
      </c>
      <c r="F11" t="s">
        <v>17</v>
      </c>
      <c r="G11" t="s">
        <v>35</v>
      </c>
      <c r="H11">
        <v>21</v>
      </c>
      <c r="I11" t="s">
        <v>81</v>
      </c>
      <c r="J11" t="s">
        <v>82</v>
      </c>
      <c r="L11" t="s">
        <v>60</v>
      </c>
      <c r="M11" t="s">
        <v>21</v>
      </c>
    </row>
    <row r="12" spans="1:13" x14ac:dyDescent="0.35">
      <c r="A12">
        <v>20010</v>
      </c>
      <c r="B12" t="s">
        <v>83</v>
      </c>
      <c r="C12" t="s">
        <v>84</v>
      </c>
      <c r="D12" t="s">
        <v>55</v>
      </c>
      <c r="E12" t="s">
        <v>85</v>
      </c>
      <c r="F12" t="s">
        <v>17</v>
      </c>
      <c r="G12" t="s">
        <v>18</v>
      </c>
      <c r="H12">
        <v>12</v>
      </c>
      <c r="I12" t="s">
        <v>86</v>
      </c>
      <c r="J12" t="s">
        <v>87</v>
      </c>
      <c r="L12" t="s">
        <v>30</v>
      </c>
      <c r="M12" t="s">
        <v>21</v>
      </c>
    </row>
    <row r="13" spans="1:13" x14ac:dyDescent="0.35">
      <c r="A13">
        <v>20011</v>
      </c>
      <c r="B13" t="s">
        <v>53</v>
      </c>
      <c r="C13" t="s">
        <v>88</v>
      </c>
      <c r="D13" t="s">
        <v>89</v>
      </c>
      <c r="E13" t="s">
        <v>34</v>
      </c>
      <c r="F13" t="s">
        <v>26</v>
      </c>
      <c r="G13" t="s">
        <v>35</v>
      </c>
      <c r="H13">
        <v>16</v>
      </c>
      <c r="I13" t="s">
        <v>90</v>
      </c>
      <c r="J13" t="s">
        <v>91</v>
      </c>
      <c r="L13" t="s">
        <v>60</v>
      </c>
      <c r="M13" t="s">
        <v>21</v>
      </c>
    </row>
    <row r="14" spans="1:13" x14ac:dyDescent="0.35">
      <c r="A14">
        <v>20012</v>
      </c>
      <c r="B14" t="s">
        <v>92</v>
      </c>
      <c r="C14" t="s">
        <v>14</v>
      </c>
      <c r="D14" t="s">
        <v>24</v>
      </c>
      <c r="E14" t="s">
        <v>56</v>
      </c>
      <c r="F14" t="s">
        <v>17</v>
      </c>
      <c r="G14" t="s">
        <v>57</v>
      </c>
      <c r="H14">
        <v>8</v>
      </c>
      <c r="I14" t="s">
        <v>93</v>
      </c>
      <c r="J14" t="s">
        <v>94</v>
      </c>
      <c r="L14" t="s">
        <v>30</v>
      </c>
      <c r="M14" t="s">
        <v>21</v>
      </c>
    </row>
    <row r="15" spans="1:13" x14ac:dyDescent="0.35">
      <c r="A15">
        <v>20013</v>
      </c>
      <c r="B15" t="s">
        <v>95</v>
      </c>
      <c r="C15" t="s">
        <v>96</v>
      </c>
      <c r="D15" t="s">
        <v>49</v>
      </c>
      <c r="E15" t="s">
        <v>56</v>
      </c>
      <c r="F15" t="s">
        <v>17</v>
      </c>
      <c r="G15" t="s">
        <v>18</v>
      </c>
      <c r="H15">
        <v>15</v>
      </c>
      <c r="I15" t="s">
        <v>97</v>
      </c>
      <c r="J15" t="s">
        <v>98</v>
      </c>
      <c r="K15" t="s">
        <v>72</v>
      </c>
      <c r="L15" t="s">
        <v>60</v>
      </c>
      <c r="M15" t="s">
        <v>21</v>
      </c>
    </row>
    <row r="16" spans="1:13" x14ac:dyDescent="0.35">
      <c r="A16">
        <v>20014</v>
      </c>
      <c r="B16" t="s">
        <v>99</v>
      </c>
      <c r="C16" t="s">
        <v>100</v>
      </c>
      <c r="D16" t="s">
        <v>68</v>
      </c>
      <c r="E16" t="s">
        <v>101</v>
      </c>
      <c r="F16" t="s">
        <v>17</v>
      </c>
      <c r="G16" t="s">
        <v>18</v>
      </c>
      <c r="H16">
        <v>20</v>
      </c>
      <c r="I16" t="s">
        <v>102</v>
      </c>
      <c r="J16" t="s">
        <v>103</v>
      </c>
      <c r="K16" t="s">
        <v>104</v>
      </c>
      <c r="L16" t="s">
        <v>60</v>
      </c>
      <c r="M16" t="s">
        <v>21</v>
      </c>
    </row>
    <row r="17" spans="1:13" x14ac:dyDescent="0.35">
      <c r="A17">
        <v>20015</v>
      </c>
      <c r="B17" t="s">
        <v>105</v>
      </c>
      <c r="C17" t="s">
        <v>106</v>
      </c>
      <c r="D17" t="s">
        <v>49</v>
      </c>
      <c r="E17" t="s">
        <v>107</v>
      </c>
      <c r="F17" t="s">
        <v>26</v>
      </c>
      <c r="G17" t="s">
        <v>18</v>
      </c>
      <c r="H17">
        <v>21</v>
      </c>
      <c r="I17" t="s">
        <v>108</v>
      </c>
      <c r="J17" t="s">
        <v>109</v>
      </c>
      <c r="L17" t="s">
        <v>60</v>
      </c>
      <c r="M17" t="s">
        <v>21</v>
      </c>
    </row>
    <row r="18" spans="1:13" x14ac:dyDescent="0.35">
      <c r="A18">
        <v>20016</v>
      </c>
      <c r="B18" t="s">
        <v>110</v>
      </c>
      <c r="C18" t="s">
        <v>100</v>
      </c>
      <c r="D18" t="s">
        <v>68</v>
      </c>
      <c r="E18" t="s">
        <v>107</v>
      </c>
      <c r="F18" t="s">
        <v>26</v>
      </c>
      <c r="G18" t="s">
        <v>43</v>
      </c>
      <c r="H18">
        <v>13</v>
      </c>
      <c r="J18" t="s">
        <v>111</v>
      </c>
      <c r="L18" t="s">
        <v>30</v>
      </c>
      <c r="M18" t="s">
        <v>21</v>
      </c>
    </row>
    <row r="19" spans="1:13" x14ac:dyDescent="0.35">
      <c r="A19">
        <v>20017</v>
      </c>
      <c r="B19" t="s">
        <v>112</v>
      </c>
      <c r="C19" t="s">
        <v>88</v>
      </c>
      <c r="D19" t="s">
        <v>113</v>
      </c>
      <c r="E19" t="s">
        <v>101</v>
      </c>
      <c r="F19" t="s">
        <v>17</v>
      </c>
      <c r="G19" t="s">
        <v>27</v>
      </c>
      <c r="H19">
        <v>14</v>
      </c>
      <c r="I19" t="s">
        <v>114</v>
      </c>
      <c r="J19" t="s">
        <v>115</v>
      </c>
      <c r="K19" t="s">
        <v>116</v>
      </c>
      <c r="L19" t="s">
        <v>30</v>
      </c>
      <c r="M19" t="s">
        <v>21</v>
      </c>
    </row>
    <row r="20" spans="1:13" x14ac:dyDescent="0.35">
      <c r="A20">
        <v>20018</v>
      </c>
      <c r="B20" t="s">
        <v>117</v>
      </c>
      <c r="C20" t="s">
        <v>118</v>
      </c>
      <c r="D20" t="s">
        <v>75</v>
      </c>
      <c r="E20" t="s">
        <v>107</v>
      </c>
      <c r="F20" t="s">
        <v>26</v>
      </c>
      <c r="G20" t="s">
        <v>76</v>
      </c>
      <c r="H20">
        <v>16</v>
      </c>
      <c r="I20" t="s">
        <v>90</v>
      </c>
      <c r="J20" t="s">
        <v>119</v>
      </c>
      <c r="L20" t="s">
        <v>60</v>
      </c>
      <c r="M20" t="s">
        <v>21</v>
      </c>
    </row>
    <row r="21" spans="1:13" x14ac:dyDescent="0.35">
      <c r="A21">
        <v>20019</v>
      </c>
      <c r="B21" t="s">
        <v>120</v>
      </c>
      <c r="C21" t="s">
        <v>40</v>
      </c>
      <c r="D21" t="s">
        <v>121</v>
      </c>
      <c r="E21" t="s">
        <v>69</v>
      </c>
      <c r="F21" t="s">
        <v>26</v>
      </c>
      <c r="G21" t="s">
        <v>35</v>
      </c>
      <c r="H21">
        <v>18</v>
      </c>
      <c r="I21" t="s">
        <v>122</v>
      </c>
      <c r="J21" t="s">
        <v>123</v>
      </c>
      <c r="L21" t="s">
        <v>60</v>
      </c>
      <c r="M21" t="s">
        <v>21</v>
      </c>
    </row>
    <row r="22" spans="1:13" x14ac:dyDescent="0.35">
      <c r="A22">
        <v>20020</v>
      </c>
      <c r="B22" t="s">
        <v>124</v>
      </c>
      <c r="C22" t="s">
        <v>125</v>
      </c>
      <c r="D22" t="s">
        <v>55</v>
      </c>
      <c r="E22" t="s">
        <v>34</v>
      </c>
      <c r="F22" t="s">
        <v>126</v>
      </c>
      <c r="G22" t="s">
        <v>35</v>
      </c>
      <c r="H22">
        <v>8</v>
      </c>
      <c r="I22" t="s">
        <v>127</v>
      </c>
      <c r="J22" t="s">
        <v>128</v>
      </c>
      <c r="L22" t="s">
        <v>60</v>
      </c>
      <c r="M22" t="s">
        <v>21</v>
      </c>
    </row>
    <row r="23" spans="1:13" x14ac:dyDescent="0.35">
      <c r="A23">
        <v>20021</v>
      </c>
      <c r="B23" t="s">
        <v>129</v>
      </c>
      <c r="C23" t="s">
        <v>62</v>
      </c>
      <c r="D23" t="s">
        <v>55</v>
      </c>
      <c r="E23" t="s">
        <v>50</v>
      </c>
      <c r="F23" t="s">
        <v>17</v>
      </c>
      <c r="G23" t="s">
        <v>76</v>
      </c>
      <c r="H23">
        <v>12</v>
      </c>
      <c r="I23" t="s">
        <v>130</v>
      </c>
      <c r="J23" t="s">
        <v>131</v>
      </c>
      <c r="L23" t="s">
        <v>132</v>
      </c>
      <c r="M23" t="s">
        <v>21</v>
      </c>
    </row>
    <row r="24" spans="1:13" x14ac:dyDescent="0.35">
      <c r="A24">
        <v>20022</v>
      </c>
      <c r="B24" t="s">
        <v>133</v>
      </c>
      <c r="C24" t="s">
        <v>118</v>
      </c>
      <c r="D24" t="s">
        <v>24</v>
      </c>
      <c r="E24" t="s">
        <v>101</v>
      </c>
      <c r="F24" t="s">
        <v>17</v>
      </c>
      <c r="G24" t="s">
        <v>76</v>
      </c>
      <c r="H24">
        <v>16</v>
      </c>
      <c r="I24" t="s">
        <v>134</v>
      </c>
      <c r="J24" t="s">
        <v>135</v>
      </c>
      <c r="L24" t="s">
        <v>30</v>
      </c>
      <c r="M24" t="s">
        <v>21</v>
      </c>
    </row>
    <row r="25" spans="1:13" x14ac:dyDescent="0.35">
      <c r="A25">
        <v>20023</v>
      </c>
      <c r="B25" t="s">
        <v>136</v>
      </c>
      <c r="C25" t="s">
        <v>88</v>
      </c>
      <c r="D25" t="s">
        <v>89</v>
      </c>
      <c r="E25" t="s">
        <v>85</v>
      </c>
      <c r="F25" t="s">
        <v>17</v>
      </c>
      <c r="G25" t="s">
        <v>57</v>
      </c>
      <c r="H25">
        <v>14</v>
      </c>
      <c r="I25" t="s">
        <v>137</v>
      </c>
      <c r="J25" t="s">
        <v>138</v>
      </c>
      <c r="L25" t="s">
        <v>30</v>
      </c>
      <c r="M25" t="s">
        <v>21</v>
      </c>
    </row>
    <row r="26" spans="1:13" x14ac:dyDescent="0.35">
      <c r="A26">
        <v>20024</v>
      </c>
      <c r="B26" t="s">
        <v>139</v>
      </c>
      <c r="C26" t="s">
        <v>140</v>
      </c>
      <c r="D26" t="s">
        <v>141</v>
      </c>
      <c r="E26" t="s">
        <v>142</v>
      </c>
      <c r="F26" t="s">
        <v>17</v>
      </c>
      <c r="G26" t="s">
        <v>27</v>
      </c>
      <c r="H26">
        <v>18</v>
      </c>
      <c r="I26" t="s">
        <v>143</v>
      </c>
      <c r="J26" t="s">
        <v>144</v>
      </c>
      <c r="L26" t="s">
        <v>30</v>
      </c>
      <c r="M26" t="s">
        <v>21</v>
      </c>
    </row>
    <row r="27" spans="1:13" x14ac:dyDescent="0.35">
      <c r="A27">
        <v>20025</v>
      </c>
      <c r="B27" t="s">
        <v>145</v>
      </c>
      <c r="C27" t="s">
        <v>74</v>
      </c>
      <c r="D27" t="s">
        <v>75</v>
      </c>
      <c r="E27" t="s">
        <v>56</v>
      </c>
      <c r="F27" t="s">
        <v>17</v>
      </c>
      <c r="G27" t="s">
        <v>18</v>
      </c>
      <c r="H27">
        <v>15</v>
      </c>
      <c r="I27" t="s">
        <v>146</v>
      </c>
      <c r="J27" t="s">
        <v>147</v>
      </c>
      <c r="L27" t="s">
        <v>60</v>
      </c>
      <c r="M27" t="s">
        <v>21</v>
      </c>
    </row>
    <row r="28" spans="1:13" x14ac:dyDescent="0.35">
      <c r="A28">
        <v>20026</v>
      </c>
      <c r="B28" t="s">
        <v>148</v>
      </c>
      <c r="C28" t="s">
        <v>67</v>
      </c>
      <c r="D28" t="s">
        <v>68</v>
      </c>
      <c r="E28" t="s">
        <v>101</v>
      </c>
      <c r="F28" t="s">
        <v>17</v>
      </c>
      <c r="G28" t="s">
        <v>76</v>
      </c>
      <c r="H28">
        <v>20</v>
      </c>
      <c r="I28" t="s">
        <v>149</v>
      </c>
      <c r="J28" t="s">
        <v>150</v>
      </c>
      <c r="K28" t="s">
        <v>72</v>
      </c>
      <c r="L28" t="s">
        <v>60</v>
      </c>
      <c r="M28" t="s">
        <v>151</v>
      </c>
    </row>
    <row r="29" spans="1:13" x14ac:dyDescent="0.35">
      <c r="A29">
        <v>20027</v>
      </c>
      <c r="B29" t="s">
        <v>152</v>
      </c>
      <c r="C29" t="s">
        <v>153</v>
      </c>
      <c r="D29" t="s">
        <v>41</v>
      </c>
      <c r="E29" t="s">
        <v>50</v>
      </c>
      <c r="F29" t="s">
        <v>17</v>
      </c>
      <c r="G29" t="s">
        <v>43</v>
      </c>
      <c r="H29">
        <v>9</v>
      </c>
      <c r="I29" t="s">
        <v>154</v>
      </c>
      <c r="J29" t="s">
        <v>155</v>
      </c>
      <c r="L29" t="s">
        <v>30</v>
      </c>
      <c r="M29" t="s">
        <v>21</v>
      </c>
    </row>
    <row r="30" spans="1:13" x14ac:dyDescent="0.35">
      <c r="A30">
        <v>20028</v>
      </c>
      <c r="B30" t="s">
        <v>156</v>
      </c>
      <c r="C30" t="s">
        <v>118</v>
      </c>
      <c r="D30" t="s">
        <v>75</v>
      </c>
      <c r="E30" t="s">
        <v>34</v>
      </c>
      <c r="F30" t="s">
        <v>26</v>
      </c>
      <c r="G30" t="s">
        <v>43</v>
      </c>
      <c r="H30">
        <v>6</v>
      </c>
      <c r="I30" t="s">
        <v>157</v>
      </c>
      <c r="J30" t="s">
        <v>158</v>
      </c>
      <c r="L30" t="s">
        <v>30</v>
      </c>
      <c r="M30" t="s">
        <v>21</v>
      </c>
    </row>
    <row r="31" spans="1:13" x14ac:dyDescent="0.35">
      <c r="A31">
        <v>20029</v>
      </c>
      <c r="B31" t="s">
        <v>159</v>
      </c>
      <c r="C31" t="s">
        <v>32</v>
      </c>
      <c r="D31" t="s">
        <v>68</v>
      </c>
      <c r="E31" t="s">
        <v>25</v>
      </c>
      <c r="F31" t="s">
        <v>26</v>
      </c>
      <c r="G31" t="s">
        <v>76</v>
      </c>
      <c r="H31">
        <v>17</v>
      </c>
      <c r="I31" t="s">
        <v>160</v>
      </c>
      <c r="J31" t="s">
        <v>161</v>
      </c>
      <c r="L31" t="s">
        <v>30</v>
      </c>
      <c r="M31" t="s">
        <v>21</v>
      </c>
    </row>
    <row r="32" spans="1:13" x14ac:dyDescent="0.35">
      <c r="A32">
        <v>20030</v>
      </c>
      <c r="B32" t="s">
        <v>162</v>
      </c>
      <c r="C32" t="s">
        <v>80</v>
      </c>
      <c r="D32" t="s">
        <v>75</v>
      </c>
      <c r="E32" t="s">
        <v>85</v>
      </c>
      <c r="F32" t="s">
        <v>17</v>
      </c>
      <c r="G32" t="s">
        <v>76</v>
      </c>
      <c r="H32">
        <v>4</v>
      </c>
      <c r="I32" t="s">
        <v>163</v>
      </c>
      <c r="J32" t="s">
        <v>164</v>
      </c>
      <c r="L32" t="s">
        <v>30</v>
      </c>
      <c r="M32" t="s">
        <v>21</v>
      </c>
    </row>
    <row r="33" spans="1:13" x14ac:dyDescent="0.35">
      <c r="A33">
        <v>20031</v>
      </c>
      <c r="B33" t="s">
        <v>165</v>
      </c>
      <c r="C33" t="s">
        <v>54</v>
      </c>
      <c r="D33" t="s">
        <v>55</v>
      </c>
      <c r="E33" t="s">
        <v>166</v>
      </c>
      <c r="F33" t="s">
        <v>17</v>
      </c>
      <c r="G33" t="s">
        <v>76</v>
      </c>
      <c r="H33">
        <v>19</v>
      </c>
      <c r="I33" t="s">
        <v>167</v>
      </c>
      <c r="J33" t="s">
        <v>168</v>
      </c>
      <c r="L33" t="s">
        <v>30</v>
      </c>
      <c r="M33" t="s">
        <v>21</v>
      </c>
    </row>
    <row r="34" spans="1:13" x14ac:dyDescent="0.35">
      <c r="A34">
        <v>20032</v>
      </c>
      <c r="B34" t="s">
        <v>169</v>
      </c>
      <c r="C34" t="s">
        <v>125</v>
      </c>
      <c r="D34" t="s">
        <v>170</v>
      </c>
      <c r="E34" t="s">
        <v>56</v>
      </c>
      <c r="F34" t="s">
        <v>17</v>
      </c>
      <c r="G34" t="s">
        <v>18</v>
      </c>
      <c r="H34">
        <v>11</v>
      </c>
      <c r="I34" t="s">
        <v>171</v>
      </c>
      <c r="J34" t="s">
        <v>172</v>
      </c>
      <c r="L34" t="s">
        <v>30</v>
      </c>
      <c r="M34" t="s">
        <v>21</v>
      </c>
    </row>
    <row r="35" spans="1:13" x14ac:dyDescent="0.35">
      <c r="A35">
        <v>20033</v>
      </c>
      <c r="B35" t="s">
        <v>173</v>
      </c>
      <c r="C35" t="s">
        <v>67</v>
      </c>
      <c r="D35" t="s">
        <v>33</v>
      </c>
      <c r="E35" t="s">
        <v>56</v>
      </c>
      <c r="F35" t="s">
        <v>17</v>
      </c>
      <c r="G35" t="s">
        <v>18</v>
      </c>
      <c r="H35">
        <v>10</v>
      </c>
      <c r="I35" t="s">
        <v>174</v>
      </c>
      <c r="J35" t="s">
        <v>175</v>
      </c>
      <c r="L35" t="s">
        <v>30</v>
      </c>
      <c r="M35" t="s">
        <v>21</v>
      </c>
    </row>
    <row r="36" spans="1:13" x14ac:dyDescent="0.35">
      <c r="A36">
        <v>20034</v>
      </c>
      <c r="B36" t="s">
        <v>176</v>
      </c>
      <c r="C36" t="s">
        <v>80</v>
      </c>
      <c r="D36" t="s">
        <v>177</v>
      </c>
      <c r="E36" t="s">
        <v>101</v>
      </c>
      <c r="F36" t="s">
        <v>17</v>
      </c>
      <c r="G36" t="s">
        <v>27</v>
      </c>
      <c r="H36">
        <v>19</v>
      </c>
      <c r="I36" t="s">
        <v>178</v>
      </c>
      <c r="J36" t="s">
        <v>179</v>
      </c>
      <c r="L36" t="s">
        <v>60</v>
      </c>
      <c r="M36" t="s">
        <v>21</v>
      </c>
    </row>
    <row r="37" spans="1:13" x14ac:dyDescent="0.35">
      <c r="A37">
        <v>20035</v>
      </c>
      <c r="B37" t="s">
        <v>180</v>
      </c>
      <c r="C37" t="s">
        <v>74</v>
      </c>
      <c r="D37" t="s">
        <v>24</v>
      </c>
      <c r="E37" t="s">
        <v>101</v>
      </c>
      <c r="F37" t="s">
        <v>17</v>
      </c>
      <c r="G37" t="s">
        <v>27</v>
      </c>
      <c r="H37">
        <v>1</v>
      </c>
      <c r="I37" t="s">
        <v>181</v>
      </c>
      <c r="J37" t="s">
        <v>182</v>
      </c>
      <c r="L37" t="s">
        <v>30</v>
      </c>
      <c r="M37" t="s">
        <v>151</v>
      </c>
    </row>
    <row r="38" spans="1:13" x14ac:dyDescent="0.35">
      <c r="A38">
        <v>20036</v>
      </c>
      <c r="B38" t="s">
        <v>183</v>
      </c>
      <c r="C38" t="s">
        <v>153</v>
      </c>
      <c r="D38" t="s">
        <v>121</v>
      </c>
      <c r="E38" t="s">
        <v>34</v>
      </c>
      <c r="F38" t="s">
        <v>26</v>
      </c>
      <c r="G38" t="s">
        <v>27</v>
      </c>
      <c r="H38">
        <v>15</v>
      </c>
      <c r="I38" t="s">
        <v>184</v>
      </c>
      <c r="J38" t="s">
        <v>185</v>
      </c>
      <c r="K38" t="s">
        <v>65</v>
      </c>
      <c r="L38" t="s">
        <v>60</v>
      </c>
      <c r="M38" t="s">
        <v>21</v>
      </c>
    </row>
    <row r="39" spans="1:13" x14ac:dyDescent="0.35">
      <c r="A39">
        <v>20037</v>
      </c>
      <c r="B39" t="s">
        <v>186</v>
      </c>
      <c r="C39" t="s">
        <v>74</v>
      </c>
      <c r="D39" t="s">
        <v>24</v>
      </c>
      <c r="E39" t="s">
        <v>50</v>
      </c>
      <c r="F39" t="s">
        <v>187</v>
      </c>
      <c r="G39" t="s">
        <v>57</v>
      </c>
      <c r="H39">
        <v>18</v>
      </c>
      <c r="I39" t="s">
        <v>188</v>
      </c>
      <c r="J39" t="s">
        <v>189</v>
      </c>
      <c r="L39" t="s">
        <v>60</v>
      </c>
      <c r="M39" t="s">
        <v>21</v>
      </c>
    </row>
    <row r="40" spans="1:13" x14ac:dyDescent="0.35">
      <c r="A40">
        <v>20038</v>
      </c>
      <c r="B40" t="s">
        <v>190</v>
      </c>
      <c r="C40" t="s">
        <v>23</v>
      </c>
      <c r="D40" t="s">
        <v>75</v>
      </c>
      <c r="E40" t="s">
        <v>166</v>
      </c>
      <c r="F40" t="s">
        <v>17</v>
      </c>
      <c r="G40" t="s">
        <v>18</v>
      </c>
      <c r="H40">
        <v>8</v>
      </c>
      <c r="I40" t="s">
        <v>191</v>
      </c>
      <c r="J40" t="s">
        <v>192</v>
      </c>
      <c r="L40" t="s">
        <v>30</v>
      </c>
      <c r="M40" t="s">
        <v>21</v>
      </c>
    </row>
    <row r="41" spans="1:13" x14ac:dyDescent="0.35">
      <c r="A41">
        <v>20039</v>
      </c>
      <c r="B41" t="s">
        <v>193</v>
      </c>
      <c r="C41" t="s">
        <v>32</v>
      </c>
      <c r="D41" t="s">
        <v>33</v>
      </c>
      <c r="E41" t="s">
        <v>34</v>
      </c>
      <c r="F41" t="s">
        <v>26</v>
      </c>
      <c r="G41" t="s">
        <v>43</v>
      </c>
      <c r="H41">
        <v>7</v>
      </c>
      <c r="I41" t="s">
        <v>194</v>
      </c>
      <c r="J41" t="s">
        <v>195</v>
      </c>
      <c r="L41" t="s">
        <v>30</v>
      </c>
      <c r="M41" t="s">
        <v>21</v>
      </c>
    </row>
    <row r="42" spans="1:13" x14ac:dyDescent="0.35">
      <c r="A42">
        <v>20040</v>
      </c>
      <c r="B42" t="s">
        <v>196</v>
      </c>
      <c r="C42" t="s">
        <v>96</v>
      </c>
      <c r="D42" t="s">
        <v>49</v>
      </c>
      <c r="E42" t="s">
        <v>42</v>
      </c>
      <c r="F42" t="s">
        <v>17</v>
      </c>
      <c r="G42" t="s">
        <v>43</v>
      </c>
      <c r="H42">
        <v>6</v>
      </c>
      <c r="I42" t="s">
        <v>197</v>
      </c>
      <c r="J42" t="s">
        <v>198</v>
      </c>
      <c r="K42" t="s">
        <v>72</v>
      </c>
      <c r="L42" t="s">
        <v>60</v>
      </c>
      <c r="M42" t="s">
        <v>21</v>
      </c>
    </row>
    <row r="43" spans="1:13" x14ac:dyDescent="0.35">
      <c r="A43">
        <v>20041</v>
      </c>
      <c r="B43" t="s">
        <v>199</v>
      </c>
      <c r="C43" t="s">
        <v>200</v>
      </c>
      <c r="D43" t="s">
        <v>89</v>
      </c>
      <c r="E43" t="s">
        <v>56</v>
      </c>
      <c r="F43" t="s">
        <v>17</v>
      </c>
      <c r="G43" t="s">
        <v>35</v>
      </c>
      <c r="H43">
        <v>14</v>
      </c>
      <c r="I43" t="s">
        <v>201</v>
      </c>
      <c r="J43" t="s">
        <v>202</v>
      </c>
      <c r="L43" t="s">
        <v>30</v>
      </c>
      <c r="M43" t="s">
        <v>21</v>
      </c>
    </row>
    <row r="44" spans="1:13" x14ac:dyDescent="0.35">
      <c r="A44">
        <v>20042</v>
      </c>
      <c r="B44" t="s">
        <v>203</v>
      </c>
      <c r="C44" t="s">
        <v>153</v>
      </c>
      <c r="D44" t="s">
        <v>41</v>
      </c>
      <c r="E44" t="s">
        <v>69</v>
      </c>
      <c r="F44" t="s">
        <v>26</v>
      </c>
      <c r="G44" t="s">
        <v>43</v>
      </c>
      <c r="H44">
        <v>15</v>
      </c>
      <c r="I44" t="s">
        <v>204</v>
      </c>
      <c r="J44" t="s">
        <v>205</v>
      </c>
      <c r="L44" t="s">
        <v>60</v>
      </c>
      <c r="M44" t="s">
        <v>21</v>
      </c>
    </row>
    <row r="45" spans="1:13" x14ac:dyDescent="0.35">
      <c r="A45">
        <v>20043</v>
      </c>
      <c r="B45" t="s">
        <v>206</v>
      </c>
      <c r="C45" t="s">
        <v>67</v>
      </c>
      <c r="D45" t="s">
        <v>33</v>
      </c>
      <c r="E45" t="s">
        <v>56</v>
      </c>
      <c r="F45" t="s">
        <v>17</v>
      </c>
      <c r="G45" t="s">
        <v>35</v>
      </c>
      <c r="H45">
        <v>19</v>
      </c>
      <c r="I45" t="s">
        <v>207</v>
      </c>
      <c r="J45" t="s">
        <v>208</v>
      </c>
      <c r="L45" t="s">
        <v>60</v>
      </c>
      <c r="M45" t="s">
        <v>21</v>
      </c>
    </row>
    <row r="46" spans="1:13" x14ac:dyDescent="0.35">
      <c r="A46">
        <v>20044</v>
      </c>
      <c r="B46" t="s">
        <v>209</v>
      </c>
      <c r="C46" t="s">
        <v>14</v>
      </c>
      <c r="D46" t="s">
        <v>24</v>
      </c>
      <c r="E46" t="s">
        <v>25</v>
      </c>
      <c r="F46" t="s">
        <v>126</v>
      </c>
      <c r="G46" t="s">
        <v>76</v>
      </c>
      <c r="H46">
        <v>19</v>
      </c>
      <c r="I46" t="s">
        <v>210</v>
      </c>
      <c r="J46" t="s">
        <v>211</v>
      </c>
      <c r="L46" t="s">
        <v>30</v>
      </c>
      <c r="M46" t="s">
        <v>21</v>
      </c>
    </row>
    <row r="47" spans="1:13" x14ac:dyDescent="0.35">
      <c r="A47">
        <v>20045</v>
      </c>
      <c r="B47" t="s">
        <v>212</v>
      </c>
      <c r="C47" t="s">
        <v>67</v>
      </c>
      <c r="D47" t="s">
        <v>68</v>
      </c>
      <c r="E47" t="s">
        <v>101</v>
      </c>
      <c r="F47" t="s">
        <v>17</v>
      </c>
      <c r="G47" t="s">
        <v>57</v>
      </c>
      <c r="H47">
        <v>17</v>
      </c>
      <c r="I47" t="s">
        <v>213</v>
      </c>
      <c r="J47" t="s">
        <v>214</v>
      </c>
      <c r="K47" t="s">
        <v>116</v>
      </c>
      <c r="L47" t="s">
        <v>60</v>
      </c>
      <c r="M47" t="s">
        <v>151</v>
      </c>
    </row>
    <row r="48" spans="1:13" x14ac:dyDescent="0.35">
      <c r="A48">
        <v>20046</v>
      </c>
      <c r="B48" t="s">
        <v>215</v>
      </c>
      <c r="C48" t="s">
        <v>88</v>
      </c>
      <c r="D48" t="s">
        <v>89</v>
      </c>
      <c r="E48" t="s">
        <v>107</v>
      </c>
      <c r="F48" t="s">
        <v>26</v>
      </c>
      <c r="G48" t="s">
        <v>76</v>
      </c>
      <c r="H48">
        <v>1</v>
      </c>
      <c r="I48" t="s">
        <v>216</v>
      </c>
      <c r="J48" t="s">
        <v>216</v>
      </c>
      <c r="L48" t="s">
        <v>30</v>
      </c>
      <c r="M48" t="s">
        <v>21</v>
      </c>
    </row>
    <row r="49" spans="1:13" x14ac:dyDescent="0.35">
      <c r="A49">
        <v>20047</v>
      </c>
      <c r="B49" t="s">
        <v>217</v>
      </c>
      <c r="C49" t="s">
        <v>14</v>
      </c>
      <c r="D49" t="s">
        <v>24</v>
      </c>
      <c r="E49" t="s">
        <v>16</v>
      </c>
      <c r="F49" t="s">
        <v>17</v>
      </c>
      <c r="G49" t="s">
        <v>35</v>
      </c>
      <c r="H49">
        <v>17</v>
      </c>
      <c r="I49" t="s">
        <v>218</v>
      </c>
      <c r="J49" t="s">
        <v>219</v>
      </c>
      <c r="K49" t="s">
        <v>220</v>
      </c>
      <c r="L49" t="s">
        <v>30</v>
      </c>
      <c r="M49" t="s">
        <v>21</v>
      </c>
    </row>
    <row r="50" spans="1:13" x14ac:dyDescent="0.35">
      <c r="A50">
        <v>20048</v>
      </c>
      <c r="B50" t="s">
        <v>221</v>
      </c>
      <c r="C50" t="s">
        <v>54</v>
      </c>
      <c r="D50" t="s">
        <v>170</v>
      </c>
      <c r="E50" t="s">
        <v>42</v>
      </c>
      <c r="F50" t="s">
        <v>17</v>
      </c>
      <c r="G50" t="s">
        <v>43</v>
      </c>
      <c r="H50">
        <v>10</v>
      </c>
      <c r="I50" t="s">
        <v>222</v>
      </c>
      <c r="J50" t="s">
        <v>223</v>
      </c>
      <c r="K50" t="s">
        <v>72</v>
      </c>
      <c r="L50" t="s">
        <v>30</v>
      </c>
      <c r="M50" t="s">
        <v>21</v>
      </c>
    </row>
    <row r="51" spans="1:13" x14ac:dyDescent="0.35">
      <c r="A51">
        <v>20049</v>
      </c>
      <c r="B51" t="s">
        <v>224</v>
      </c>
      <c r="C51" t="s">
        <v>225</v>
      </c>
      <c r="D51" t="s">
        <v>113</v>
      </c>
      <c r="E51" t="s">
        <v>50</v>
      </c>
      <c r="F51" t="s">
        <v>17</v>
      </c>
      <c r="G51" t="s">
        <v>35</v>
      </c>
      <c r="H51">
        <v>3</v>
      </c>
      <c r="I51" t="s">
        <v>226</v>
      </c>
      <c r="J51" t="s">
        <v>227</v>
      </c>
      <c r="L51" t="s">
        <v>30</v>
      </c>
      <c r="M51" t="s">
        <v>21</v>
      </c>
    </row>
    <row r="52" spans="1:13" x14ac:dyDescent="0.35">
      <c r="A52">
        <v>20050</v>
      </c>
      <c r="B52" t="s">
        <v>228</v>
      </c>
      <c r="C52" t="s">
        <v>106</v>
      </c>
      <c r="D52" t="s">
        <v>49</v>
      </c>
      <c r="E52" t="s">
        <v>50</v>
      </c>
      <c r="F52" t="s">
        <v>17</v>
      </c>
      <c r="G52" t="s">
        <v>18</v>
      </c>
      <c r="H52">
        <v>-23</v>
      </c>
      <c r="I52" t="s">
        <v>229</v>
      </c>
      <c r="J52" t="s">
        <v>230</v>
      </c>
      <c r="K52" t="s">
        <v>116</v>
      </c>
      <c r="L52" t="s">
        <v>60</v>
      </c>
      <c r="M52" t="s">
        <v>21</v>
      </c>
    </row>
    <row r="53" spans="1:13" x14ac:dyDescent="0.35">
      <c r="A53">
        <v>20051</v>
      </c>
      <c r="B53" t="s">
        <v>152</v>
      </c>
      <c r="C53" t="s">
        <v>67</v>
      </c>
      <c r="D53" t="s">
        <v>141</v>
      </c>
      <c r="E53" t="s">
        <v>16</v>
      </c>
      <c r="F53" t="s">
        <v>17</v>
      </c>
      <c r="G53" t="s">
        <v>76</v>
      </c>
      <c r="H53">
        <v>10</v>
      </c>
      <c r="I53" t="s">
        <v>231</v>
      </c>
      <c r="J53" t="s">
        <v>232</v>
      </c>
      <c r="K53" t="s">
        <v>72</v>
      </c>
      <c r="L53" t="s">
        <v>30</v>
      </c>
      <c r="M53" t="s">
        <v>21</v>
      </c>
    </row>
    <row r="54" spans="1:13" x14ac:dyDescent="0.35">
      <c r="A54">
        <v>20052</v>
      </c>
      <c r="B54" t="s">
        <v>233</v>
      </c>
      <c r="C54" t="s">
        <v>74</v>
      </c>
      <c r="D54" t="s">
        <v>15</v>
      </c>
      <c r="E54" t="s">
        <v>85</v>
      </c>
      <c r="F54" t="s">
        <v>17</v>
      </c>
      <c r="G54" t="s">
        <v>27</v>
      </c>
      <c r="H54">
        <v>16</v>
      </c>
      <c r="I54" t="s">
        <v>234</v>
      </c>
      <c r="J54" t="s">
        <v>235</v>
      </c>
      <c r="L54" t="s">
        <v>30</v>
      </c>
      <c r="M54" t="s">
        <v>21</v>
      </c>
    </row>
    <row r="55" spans="1:13" x14ac:dyDescent="0.35">
      <c r="A55">
        <v>20053</v>
      </c>
      <c r="B55" t="s">
        <v>236</v>
      </c>
      <c r="C55" t="s">
        <v>96</v>
      </c>
      <c r="D55" t="s">
        <v>49</v>
      </c>
      <c r="E55" t="s">
        <v>50</v>
      </c>
      <c r="F55" t="s">
        <v>17</v>
      </c>
      <c r="G55" t="s">
        <v>76</v>
      </c>
      <c r="H55">
        <v>17</v>
      </c>
      <c r="I55" t="s">
        <v>237</v>
      </c>
      <c r="J55" t="s">
        <v>238</v>
      </c>
      <c r="L55" t="s">
        <v>60</v>
      </c>
      <c r="M55" t="s">
        <v>21</v>
      </c>
    </row>
    <row r="56" spans="1:13" x14ac:dyDescent="0.35">
      <c r="A56">
        <v>20054</v>
      </c>
      <c r="B56" t="s">
        <v>162</v>
      </c>
      <c r="C56" t="s">
        <v>153</v>
      </c>
      <c r="D56" t="s">
        <v>41</v>
      </c>
      <c r="E56" t="s">
        <v>69</v>
      </c>
      <c r="F56" t="s">
        <v>26</v>
      </c>
      <c r="G56" t="s">
        <v>27</v>
      </c>
      <c r="H56">
        <v>7</v>
      </c>
      <c r="I56" t="s">
        <v>239</v>
      </c>
      <c r="J56" t="s">
        <v>240</v>
      </c>
      <c r="K56" t="s">
        <v>241</v>
      </c>
    </row>
    <row r="57" spans="1:13" x14ac:dyDescent="0.35">
      <c r="A57">
        <v>20055</v>
      </c>
      <c r="B57" t="s">
        <v>242</v>
      </c>
      <c r="C57" t="s">
        <v>243</v>
      </c>
      <c r="D57" t="s">
        <v>89</v>
      </c>
      <c r="E57" t="s">
        <v>85</v>
      </c>
      <c r="F57" t="s">
        <v>17</v>
      </c>
      <c r="G57" t="s">
        <v>76</v>
      </c>
      <c r="H57">
        <v>17</v>
      </c>
      <c r="J57" t="s">
        <v>244</v>
      </c>
      <c r="L57" t="s">
        <v>30</v>
      </c>
      <c r="M57" t="s">
        <v>151</v>
      </c>
    </row>
    <row r="58" spans="1:13" x14ac:dyDescent="0.35">
      <c r="A58">
        <v>20056</v>
      </c>
      <c r="B58" t="s">
        <v>245</v>
      </c>
      <c r="C58" t="s">
        <v>246</v>
      </c>
      <c r="D58" t="s">
        <v>49</v>
      </c>
      <c r="E58" t="s">
        <v>34</v>
      </c>
      <c r="F58" t="s">
        <v>26</v>
      </c>
      <c r="G58" t="s">
        <v>27</v>
      </c>
      <c r="H58">
        <v>15</v>
      </c>
      <c r="I58" t="s">
        <v>247</v>
      </c>
      <c r="J58" t="s">
        <v>248</v>
      </c>
      <c r="L58" t="s">
        <v>60</v>
      </c>
      <c r="M58" t="s">
        <v>21</v>
      </c>
    </row>
    <row r="59" spans="1:13" x14ac:dyDescent="0.35">
      <c r="A59">
        <v>20057</v>
      </c>
      <c r="B59" t="s">
        <v>249</v>
      </c>
      <c r="C59" t="s">
        <v>67</v>
      </c>
      <c r="D59" t="s">
        <v>68</v>
      </c>
      <c r="E59" t="s">
        <v>42</v>
      </c>
      <c r="F59" t="s">
        <v>17</v>
      </c>
      <c r="G59" t="s">
        <v>43</v>
      </c>
      <c r="H59">
        <v>17</v>
      </c>
      <c r="I59" t="s">
        <v>250</v>
      </c>
      <c r="J59" t="s">
        <v>251</v>
      </c>
      <c r="L59" t="s">
        <v>60</v>
      </c>
      <c r="M59" t="s">
        <v>21</v>
      </c>
    </row>
    <row r="60" spans="1:13" x14ac:dyDescent="0.35">
      <c r="A60">
        <v>20058</v>
      </c>
      <c r="B60" t="s">
        <v>252</v>
      </c>
      <c r="C60" t="s">
        <v>100</v>
      </c>
      <c r="D60" t="s">
        <v>141</v>
      </c>
      <c r="E60" t="s">
        <v>34</v>
      </c>
      <c r="F60" t="s">
        <v>26</v>
      </c>
      <c r="G60" t="s">
        <v>27</v>
      </c>
      <c r="H60">
        <v>6</v>
      </c>
      <c r="I60" t="s">
        <v>253</v>
      </c>
      <c r="J60" t="s">
        <v>254</v>
      </c>
      <c r="K60" t="s">
        <v>72</v>
      </c>
      <c r="L60" t="s">
        <v>30</v>
      </c>
      <c r="M60" t="s">
        <v>21</v>
      </c>
    </row>
    <row r="61" spans="1:13" x14ac:dyDescent="0.35">
      <c r="A61">
        <v>20059</v>
      </c>
      <c r="B61" t="s">
        <v>255</v>
      </c>
      <c r="C61" t="s">
        <v>118</v>
      </c>
      <c r="D61" t="s">
        <v>177</v>
      </c>
      <c r="E61" t="s">
        <v>85</v>
      </c>
      <c r="F61" t="s">
        <v>17</v>
      </c>
      <c r="G61" t="s">
        <v>57</v>
      </c>
      <c r="H61">
        <v>9</v>
      </c>
      <c r="I61" t="s">
        <v>256</v>
      </c>
      <c r="J61" t="s">
        <v>257</v>
      </c>
      <c r="K61" t="s">
        <v>220</v>
      </c>
      <c r="L61" t="s">
        <v>30</v>
      </c>
      <c r="M61" t="s">
        <v>21</v>
      </c>
    </row>
    <row r="62" spans="1:13" x14ac:dyDescent="0.35">
      <c r="A62">
        <v>20060</v>
      </c>
      <c r="B62" t="s">
        <v>165</v>
      </c>
      <c r="C62" t="s">
        <v>118</v>
      </c>
      <c r="D62" t="s">
        <v>24</v>
      </c>
      <c r="E62" t="s">
        <v>85</v>
      </c>
      <c r="F62" t="s">
        <v>17</v>
      </c>
      <c r="G62" t="s">
        <v>43</v>
      </c>
      <c r="H62">
        <v>18</v>
      </c>
      <c r="I62" t="s">
        <v>258</v>
      </c>
      <c r="J62" t="s">
        <v>259</v>
      </c>
      <c r="L62" t="s">
        <v>60</v>
      </c>
      <c r="M62" t="s">
        <v>21</v>
      </c>
    </row>
    <row r="63" spans="1:13" x14ac:dyDescent="0.35">
      <c r="A63">
        <v>20061</v>
      </c>
      <c r="B63" t="s">
        <v>260</v>
      </c>
      <c r="C63" t="s">
        <v>243</v>
      </c>
      <c r="D63" t="s">
        <v>89</v>
      </c>
      <c r="E63" t="s">
        <v>42</v>
      </c>
      <c r="F63" t="s">
        <v>17</v>
      </c>
      <c r="G63" t="s">
        <v>43</v>
      </c>
      <c r="H63">
        <v>2</v>
      </c>
      <c r="I63" t="s">
        <v>261</v>
      </c>
      <c r="J63" t="s">
        <v>262</v>
      </c>
      <c r="K63" t="s">
        <v>72</v>
      </c>
      <c r="L63" t="s">
        <v>30</v>
      </c>
      <c r="M63" t="s">
        <v>21</v>
      </c>
    </row>
    <row r="64" spans="1:13" x14ac:dyDescent="0.35">
      <c r="A64">
        <v>20062</v>
      </c>
      <c r="B64" t="s">
        <v>263</v>
      </c>
      <c r="C64" t="s">
        <v>264</v>
      </c>
      <c r="D64" t="s">
        <v>121</v>
      </c>
      <c r="E64" t="s">
        <v>56</v>
      </c>
      <c r="F64" t="s">
        <v>17</v>
      </c>
      <c r="G64" t="s">
        <v>35</v>
      </c>
      <c r="H64">
        <v>19</v>
      </c>
      <c r="I64" t="s">
        <v>265</v>
      </c>
      <c r="J64" t="s">
        <v>266</v>
      </c>
      <c r="L64" t="s">
        <v>60</v>
      </c>
      <c r="M64" t="s">
        <v>21</v>
      </c>
    </row>
    <row r="65" spans="1:13" x14ac:dyDescent="0.35">
      <c r="A65">
        <v>20063</v>
      </c>
      <c r="B65" t="s">
        <v>267</v>
      </c>
      <c r="C65" t="s">
        <v>32</v>
      </c>
      <c r="D65" t="s">
        <v>33</v>
      </c>
      <c r="E65" t="s">
        <v>25</v>
      </c>
      <c r="F65" t="s">
        <v>26</v>
      </c>
      <c r="G65" t="s">
        <v>76</v>
      </c>
      <c r="H65">
        <v>12</v>
      </c>
      <c r="I65" t="s">
        <v>268</v>
      </c>
      <c r="J65" t="s">
        <v>269</v>
      </c>
      <c r="K65" t="s">
        <v>65</v>
      </c>
      <c r="L65" t="s">
        <v>30</v>
      </c>
      <c r="M65" t="s">
        <v>21</v>
      </c>
    </row>
    <row r="66" spans="1:13" x14ac:dyDescent="0.35">
      <c r="A66">
        <v>20064</v>
      </c>
      <c r="B66" t="s">
        <v>215</v>
      </c>
      <c r="C66" t="s">
        <v>100</v>
      </c>
      <c r="D66" t="s">
        <v>141</v>
      </c>
      <c r="E66" t="s">
        <v>107</v>
      </c>
      <c r="F66" t="s">
        <v>26</v>
      </c>
      <c r="G66" t="s">
        <v>43</v>
      </c>
      <c r="H66">
        <v>7</v>
      </c>
      <c r="I66" t="s">
        <v>270</v>
      </c>
      <c r="J66" t="s">
        <v>271</v>
      </c>
      <c r="L66" t="s">
        <v>30</v>
      </c>
      <c r="M66" t="s">
        <v>21</v>
      </c>
    </row>
    <row r="67" spans="1:13" x14ac:dyDescent="0.35">
      <c r="A67">
        <v>20065</v>
      </c>
      <c r="B67" t="s">
        <v>272</v>
      </c>
      <c r="C67" t="s">
        <v>80</v>
      </c>
      <c r="D67" t="s">
        <v>177</v>
      </c>
      <c r="E67" t="s">
        <v>85</v>
      </c>
      <c r="F67" t="s">
        <v>17</v>
      </c>
      <c r="G67" t="s">
        <v>27</v>
      </c>
      <c r="H67">
        <v>20</v>
      </c>
      <c r="I67" t="s">
        <v>273</v>
      </c>
      <c r="J67" t="s">
        <v>274</v>
      </c>
      <c r="L67" t="s">
        <v>60</v>
      </c>
      <c r="M67" t="s">
        <v>21</v>
      </c>
    </row>
    <row r="68" spans="1:13" x14ac:dyDescent="0.35">
      <c r="A68">
        <v>20066</v>
      </c>
      <c r="B68" t="s">
        <v>275</v>
      </c>
      <c r="C68" t="s">
        <v>67</v>
      </c>
      <c r="D68" t="s">
        <v>33</v>
      </c>
      <c r="E68" t="s">
        <v>142</v>
      </c>
      <c r="F68" t="s">
        <v>17</v>
      </c>
      <c r="G68" t="s">
        <v>18</v>
      </c>
      <c r="H68">
        <v>17</v>
      </c>
      <c r="I68" t="s">
        <v>276</v>
      </c>
      <c r="J68" t="s">
        <v>277</v>
      </c>
      <c r="K68" t="s">
        <v>116</v>
      </c>
      <c r="L68" t="s">
        <v>30</v>
      </c>
      <c r="M68" t="s">
        <v>21</v>
      </c>
    </row>
    <row r="69" spans="1:13" x14ac:dyDescent="0.35">
      <c r="A69">
        <v>20067</v>
      </c>
      <c r="B69" t="s">
        <v>278</v>
      </c>
      <c r="C69" t="s">
        <v>200</v>
      </c>
      <c r="D69" t="s">
        <v>89</v>
      </c>
      <c r="E69" t="s">
        <v>34</v>
      </c>
      <c r="F69" t="s">
        <v>26</v>
      </c>
      <c r="G69" t="s">
        <v>18</v>
      </c>
      <c r="H69">
        <v>17</v>
      </c>
      <c r="I69" t="s">
        <v>279</v>
      </c>
      <c r="J69" t="s">
        <v>280</v>
      </c>
      <c r="L69" t="s">
        <v>60</v>
      </c>
      <c r="M69" t="s">
        <v>21</v>
      </c>
    </row>
    <row r="70" spans="1:13" x14ac:dyDescent="0.35">
      <c r="A70">
        <v>20068</v>
      </c>
      <c r="B70" t="s">
        <v>281</v>
      </c>
      <c r="C70" t="s">
        <v>32</v>
      </c>
      <c r="D70" t="s">
        <v>33</v>
      </c>
      <c r="E70" t="s">
        <v>69</v>
      </c>
      <c r="F70" t="s">
        <v>26</v>
      </c>
      <c r="G70" t="s">
        <v>18</v>
      </c>
      <c r="H70">
        <v>18</v>
      </c>
      <c r="I70" t="s">
        <v>282</v>
      </c>
      <c r="J70" t="s">
        <v>283</v>
      </c>
      <c r="L70" t="s">
        <v>60</v>
      </c>
      <c r="M70" t="s">
        <v>21</v>
      </c>
    </row>
    <row r="71" spans="1:13" x14ac:dyDescent="0.35">
      <c r="A71">
        <v>20069</v>
      </c>
      <c r="B71" t="s">
        <v>193</v>
      </c>
      <c r="C71" t="s">
        <v>32</v>
      </c>
      <c r="D71" t="s">
        <v>33</v>
      </c>
      <c r="E71" t="s">
        <v>69</v>
      </c>
      <c r="F71" t="s">
        <v>26</v>
      </c>
      <c r="G71" t="s">
        <v>43</v>
      </c>
      <c r="H71">
        <v>9</v>
      </c>
      <c r="I71" t="s">
        <v>284</v>
      </c>
      <c r="J71" t="s">
        <v>285</v>
      </c>
      <c r="K71" t="s">
        <v>72</v>
      </c>
      <c r="L71" t="s">
        <v>30</v>
      </c>
      <c r="M71" t="s">
        <v>21</v>
      </c>
    </row>
    <row r="72" spans="1:13" x14ac:dyDescent="0.35">
      <c r="A72">
        <v>20070</v>
      </c>
      <c r="B72" t="s">
        <v>286</v>
      </c>
      <c r="C72" t="s">
        <v>14</v>
      </c>
      <c r="D72" t="s">
        <v>24</v>
      </c>
      <c r="E72" t="s">
        <v>166</v>
      </c>
      <c r="F72" t="s">
        <v>17</v>
      </c>
      <c r="G72" t="s">
        <v>57</v>
      </c>
      <c r="H72">
        <v>3</v>
      </c>
      <c r="I72" t="s">
        <v>287</v>
      </c>
      <c r="J72" t="s">
        <v>288</v>
      </c>
      <c r="L72" t="s">
        <v>30</v>
      </c>
      <c r="M72" t="s">
        <v>21</v>
      </c>
    </row>
    <row r="73" spans="1:13" x14ac:dyDescent="0.35">
      <c r="A73">
        <v>20071</v>
      </c>
      <c r="B73" t="s">
        <v>289</v>
      </c>
      <c r="C73" t="s">
        <v>80</v>
      </c>
      <c r="D73" t="s">
        <v>177</v>
      </c>
      <c r="E73" t="s">
        <v>42</v>
      </c>
      <c r="F73" t="s">
        <v>17</v>
      </c>
      <c r="G73" t="s">
        <v>57</v>
      </c>
      <c r="H73">
        <v>7</v>
      </c>
      <c r="I73" t="s">
        <v>290</v>
      </c>
      <c r="J73" t="s">
        <v>291</v>
      </c>
      <c r="K73" t="s">
        <v>72</v>
      </c>
      <c r="L73" t="s">
        <v>30</v>
      </c>
      <c r="M73" t="s">
        <v>21</v>
      </c>
    </row>
    <row r="74" spans="1:13" x14ac:dyDescent="0.35">
      <c r="A74">
        <v>20072</v>
      </c>
      <c r="B74" t="s">
        <v>292</v>
      </c>
      <c r="C74" t="s">
        <v>14</v>
      </c>
      <c r="D74" t="s">
        <v>177</v>
      </c>
      <c r="E74" t="s">
        <v>16</v>
      </c>
      <c r="F74" t="s">
        <v>17</v>
      </c>
      <c r="G74" t="s">
        <v>18</v>
      </c>
      <c r="H74">
        <v>21</v>
      </c>
      <c r="I74" t="s">
        <v>293</v>
      </c>
      <c r="J74" t="s">
        <v>294</v>
      </c>
      <c r="K74" t="s">
        <v>72</v>
      </c>
      <c r="L74" t="s">
        <v>60</v>
      </c>
      <c r="M74" t="s">
        <v>21</v>
      </c>
    </row>
    <row r="75" spans="1:13" x14ac:dyDescent="0.35">
      <c r="A75">
        <v>20073</v>
      </c>
      <c r="B75" t="s">
        <v>152</v>
      </c>
      <c r="C75" t="s">
        <v>67</v>
      </c>
      <c r="D75" t="s">
        <v>33</v>
      </c>
      <c r="E75" t="s">
        <v>34</v>
      </c>
      <c r="F75" t="s">
        <v>26</v>
      </c>
      <c r="G75" t="s">
        <v>27</v>
      </c>
      <c r="H75">
        <v>20</v>
      </c>
      <c r="I75" t="s">
        <v>295</v>
      </c>
      <c r="J75" t="s">
        <v>296</v>
      </c>
      <c r="L75" t="s">
        <v>30</v>
      </c>
      <c r="M75" t="s">
        <v>21</v>
      </c>
    </row>
    <row r="76" spans="1:13" x14ac:dyDescent="0.35">
      <c r="A76">
        <v>20074</v>
      </c>
      <c r="B76" t="s">
        <v>297</v>
      </c>
      <c r="C76" t="s">
        <v>100</v>
      </c>
      <c r="D76" t="s">
        <v>68</v>
      </c>
      <c r="E76" t="s">
        <v>42</v>
      </c>
      <c r="F76" t="s">
        <v>17</v>
      </c>
      <c r="G76" t="s">
        <v>76</v>
      </c>
      <c r="H76">
        <v>2</v>
      </c>
      <c r="J76" t="s">
        <v>298</v>
      </c>
      <c r="K76" t="s">
        <v>299</v>
      </c>
      <c r="L76" t="s">
        <v>30</v>
      </c>
      <c r="M76" t="s">
        <v>21</v>
      </c>
    </row>
    <row r="77" spans="1:13" x14ac:dyDescent="0.35">
      <c r="A77">
        <v>20075</v>
      </c>
      <c r="B77" t="s">
        <v>300</v>
      </c>
      <c r="C77" t="s">
        <v>246</v>
      </c>
      <c r="D77" t="s">
        <v>49</v>
      </c>
      <c r="E77" t="s">
        <v>107</v>
      </c>
      <c r="F77" t="s">
        <v>26</v>
      </c>
      <c r="G77" t="s">
        <v>57</v>
      </c>
      <c r="H77">
        <v>24</v>
      </c>
      <c r="I77" t="s">
        <v>301</v>
      </c>
      <c r="J77" t="s">
        <v>302</v>
      </c>
      <c r="K77" t="s">
        <v>72</v>
      </c>
      <c r="L77" t="s">
        <v>60</v>
      </c>
      <c r="M77" t="s">
        <v>21</v>
      </c>
    </row>
    <row r="78" spans="1:13" x14ac:dyDescent="0.35">
      <c r="A78">
        <v>20076</v>
      </c>
      <c r="B78" t="s">
        <v>303</v>
      </c>
      <c r="C78" t="s">
        <v>84</v>
      </c>
      <c r="D78" t="s">
        <v>55</v>
      </c>
      <c r="E78" t="s">
        <v>34</v>
      </c>
      <c r="F78" t="s">
        <v>26</v>
      </c>
      <c r="G78" t="s">
        <v>57</v>
      </c>
      <c r="H78">
        <v>5</v>
      </c>
      <c r="I78" t="s">
        <v>304</v>
      </c>
      <c r="J78" t="s">
        <v>305</v>
      </c>
      <c r="K78" t="s">
        <v>72</v>
      </c>
      <c r="L78" t="s">
        <v>60</v>
      </c>
      <c r="M78" t="s">
        <v>21</v>
      </c>
    </row>
    <row r="79" spans="1:13" x14ac:dyDescent="0.35">
      <c r="A79">
        <v>20077</v>
      </c>
      <c r="B79" t="s">
        <v>306</v>
      </c>
      <c r="C79" t="s">
        <v>125</v>
      </c>
      <c r="D79" t="s">
        <v>170</v>
      </c>
      <c r="E79" t="s">
        <v>166</v>
      </c>
      <c r="F79" t="s">
        <v>17</v>
      </c>
      <c r="G79" t="s">
        <v>35</v>
      </c>
      <c r="H79">
        <v>19</v>
      </c>
      <c r="I79" t="s">
        <v>307</v>
      </c>
      <c r="J79" t="s">
        <v>308</v>
      </c>
      <c r="K79" t="s">
        <v>220</v>
      </c>
      <c r="L79" t="s">
        <v>30</v>
      </c>
      <c r="M79" t="s">
        <v>21</v>
      </c>
    </row>
    <row r="80" spans="1:13" x14ac:dyDescent="0.35">
      <c r="A80">
        <v>20078</v>
      </c>
      <c r="B80" t="s">
        <v>112</v>
      </c>
      <c r="C80" t="s">
        <v>200</v>
      </c>
      <c r="D80" t="s">
        <v>89</v>
      </c>
      <c r="E80" t="s">
        <v>107</v>
      </c>
      <c r="F80" t="s">
        <v>26</v>
      </c>
      <c r="G80" t="s">
        <v>57</v>
      </c>
      <c r="H80">
        <v>-3</v>
      </c>
      <c r="I80" t="s">
        <v>309</v>
      </c>
      <c r="J80" t="s">
        <v>310</v>
      </c>
      <c r="K80" t="s">
        <v>116</v>
      </c>
      <c r="L80" t="s">
        <v>30</v>
      </c>
      <c r="M80" t="s">
        <v>21</v>
      </c>
    </row>
    <row r="81" spans="1:13" x14ac:dyDescent="0.35">
      <c r="A81">
        <v>20079</v>
      </c>
      <c r="B81" t="s">
        <v>311</v>
      </c>
      <c r="C81" t="s">
        <v>74</v>
      </c>
      <c r="D81" t="s">
        <v>15</v>
      </c>
      <c r="E81" t="s">
        <v>142</v>
      </c>
      <c r="F81" t="s">
        <v>17</v>
      </c>
      <c r="G81" t="s">
        <v>18</v>
      </c>
      <c r="H81">
        <v>-8</v>
      </c>
      <c r="I81" t="s">
        <v>312</v>
      </c>
      <c r="J81" t="s">
        <v>313</v>
      </c>
      <c r="K81" t="s">
        <v>116</v>
      </c>
      <c r="L81" t="s">
        <v>30</v>
      </c>
      <c r="M81" t="s">
        <v>21</v>
      </c>
    </row>
    <row r="82" spans="1:13" x14ac:dyDescent="0.35">
      <c r="A82">
        <v>20080</v>
      </c>
      <c r="B82" t="s">
        <v>186</v>
      </c>
      <c r="C82" t="s">
        <v>48</v>
      </c>
      <c r="D82" t="s">
        <v>314</v>
      </c>
      <c r="E82" t="s">
        <v>16</v>
      </c>
      <c r="F82" t="s">
        <v>17</v>
      </c>
      <c r="G82" t="s">
        <v>35</v>
      </c>
      <c r="H82">
        <v>8</v>
      </c>
      <c r="I82" t="s">
        <v>315</v>
      </c>
      <c r="J82" t="s">
        <v>316</v>
      </c>
      <c r="K82" t="s">
        <v>220</v>
      </c>
      <c r="L82" t="s">
        <v>30</v>
      </c>
      <c r="M82" t="s">
        <v>21</v>
      </c>
    </row>
    <row r="83" spans="1:13" x14ac:dyDescent="0.35">
      <c r="A83">
        <v>20081</v>
      </c>
      <c r="B83" t="s">
        <v>317</v>
      </c>
      <c r="C83" t="s">
        <v>23</v>
      </c>
      <c r="D83" t="s">
        <v>177</v>
      </c>
      <c r="E83" t="s">
        <v>42</v>
      </c>
      <c r="F83" t="s">
        <v>17</v>
      </c>
      <c r="G83" t="s">
        <v>43</v>
      </c>
      <c r="H83">
        <v>19</v>
      </c>
      <c r="I83" t="s">
        <v>318</v>
      </c>
      <c r="J83" t="s">
        <v>319</v>
      </c>
      <c r="M83" t="s">
        <v>21</v>
      </c>
    </row>
    <row r="84" spans="1:13" x14ac:dyDescent="0.35">
      <c r="A84">
        <v>20082</v>
      </c>
      <c r="B84" t="s">
        <v>139</v>
      </c>
      <c r="C84" t="s">
        <v>118</v>
      </c>
      <c r="D84" t="s">
        <v>24</v>
      </c>
      <c r="E84" t="s">
        <v>25</v>
      </c>
      <c r="F84" t="s">
        <v>26</v>
      </c>
      <c r="G84" t="s">
        <v>18</v>
      </c>
      <c r="H84">
        <v>12</v>
      </c>
      <c r="I84" t="s">
        <v>320</v>
      </c>
      <c r="J84" t="s">
        <v>321</v>
      </c>
      <c r="L84" t="s">
        <v>30</v>
      </c>
      <c r="M84" t="s">
        <v>21</v>
      </c>
    </row>
    <row r="85" spans="1:13" x14ac:dyDescent="0.35">
      <c r="A85">
        <v>20083</v>
      </c>
      <c r="B85" t="s">
        <v>322</v>
      </c>
      <c r="C85" t="s">
        <v>84</v>
      </c>
      <c r="D85" t="s">
        <v>55</v>
      </c>
      <c r="E85" t="s">
        <v>16</v>
      </c>
      <c r="F85" t="s">
        <v>17</v>
      </c>
      <c r="G85" t="s">
        <v>35</v>
      </c>
      <c r="H85">
        <v>19</v>
      </c>
      <c r="I85" t="s">
        <v>323</v>
      </c>
      <c r="J85" t="s">
        <v>324</v>
      </c>
      <c r="L85" t="s">
        <v>30</v>
      </c>
      <c r="M85" t="s">
        <v>151</v>
      </c>
    </row>
    <row r="86" spans="1:13" x14ac:dyDescent="0.35">
      <c r="A86">
        <v>20084</v>
      </c>
      <c r="B86" t="s">
        <v>325</v>
      </c>
      <c r="C86" t="s">
        <v>54</v>
      </c>
      <c r="D86" t="s">
        <v>170</v>
      </c>
      <c r="E86" t="s">
        <v>142</v>
      </c>
      <c r="F86" t="s">
        <v>17</v>
      </c>
      <c r="G86" t="s">
        <v>35</v>
      </c>
      <c r="H86">
        <v>3</v>
      </c>
      <c r="I86" t="s">
        <v>326</v>
      </c>
      <c r="J86" t="s">
        <v>327</v>
      </c>
      <c r="K86" t="s">
        <v>116</v>
      </c>
      <c r="L86" t="s">
        <v>30</v>
      </c>
      <c r="M86" t="s">
        <v>21</v>
      </c>
    </row>
    <row r="87" spans="1:13" x14ac:dyDescent="0.35">
      <c r="A87">
        <v>20085</v>
      </c>
      <c r="B87" t="s">
        <v>328</v>
      </c>
      <c r="C87" t="s">
        <v>118</v>
      </c>
      <c r="D87" t="s">
        <v>75</v>
      </c>
      <c r="E87" t="s">
        <v>50</v>
      </c>
      <c r="F87" t="s">
        <v>17</v>
      </c>
      <c r="G87" t="s">
        <v>57</v>
      </c>
      <c r="H87">
        <v>5</v>
      </c>
      <c r="J87" t="s">
        <v>329</v>
      </c>
      <c r="K87" t="s">
        <v>116</v>
      </c>
      <c r="L87" t="s">
        <v>30</v>
      </c>
      <c r="M87" t="s">
        <v>21</v>
      </c>
    </row>
    <row r="88" spans="1:13" x14ac:dyDescent="0.35">
      <c r="A88">
        <v>20052</v>
      </c>
      <c r="B88" t="s">
        <v>148</v>
      </c>
      <c r="C88" t="s">
        <v>100</v>
      </c>
      <c r="D88" t="s">
        <v>33</v>
      </c>
      <c r="E88" t="s">
        <v>85</v>
      </c>
      <c r="F88" t="s">
        <v>17</v>
      </c>
      <c r="G88" t="s">
        <v>43</v>
      </c>
      <c r="H88">
        <v>-19</v>
      </c>
      <c r="I88" t="s">
        <v>330</v>
      </c>
      <c r="J88" t="s">
        <v>331</v>
      </c>
      <c r="K88" t="s">
        <v>72</v>
      </c>
      <c r="L88" t="s">
        <v>30</v>
      </c>
      <c r="M88" t="s">
        <v>21</v>
      </c>
    </row>
    <row r="89" spans="1:13" x14ac:dyDescent="0.35">
      <c r="A89">
        <v>20087</v>
      </c>
      <c r="B89" t="s">
        <v>311</v>
      </c>
      <c r="C89" t="s">
        <v>32</v>
      </c>
      <c r="D89" t="s">
        <v>68</v>
      </c>
      <c r="E89" t="s">
        <v>25</v>
      </c>
      <c r="F89" t="s">
        <v>26</v>
      </c>
      <c r="G89" t="s">
        <v>27</v>
      </c>
      <c r="H89">
        <v>20</v>
      </c>
      <c r="I89" t="s">
        <v>332</v>
      </c>
      <c r="J89" t="s">
        <v>333</v>
      </c>
      <c r="K89" t="s">
        <v>104</v>
      </c>
      <c r="L89" t="s">
        <v>60</v>
      </c>
      <c r="M89" t="s">
        <v>21</v>
      </c>
    </row>
    <row r="90" spans="1:13" x14ac:dyDescent="0.35">
      <c r="A90">
        <v>20088</v>
      </c>
      <c r="B90" t="s">
        <v>334</v>
      </c>
      <c r="C90" t="s">
        <v>62</v>
      </c>
      <c r="D90" t="s">
        <v>55</v>
      </c>
      <c r="E90" t="s">
        <v>69</v>
      </c>
      <c r="F90" t="s">
        <v>26</v>
      </c>
      <c r="G90" t="s">
        <v>43</v>
      </c>
      <c r="H90">
        <v>3</v>
      </c>
      <c r="I90" t="s">
        <v>335</v>
      </c>
      <c r="J90" t="s">
        <v>336</v>
      </c>
      <c r="K90" t="s">
        <v>72</v>
      </c>
      <c r="L90" t="s">
        <v>30</v>
      </c>
      <c r="M90" t="s">
        <v>21</v>
      </c>
    </row>
    <row r="91" spans="1:13" x14ac:dyDescent="0.35">
      <c r="A91">
        <v>20089</v>
      </c>
      <c r="B91" t="s">
        <v>337</v>
      </c>
      <c r="C91" t="s">
        <v>225</v>
      </c>
      <c r="D91" t="s">
        <v>89</v>
      </c>
      <c r="E91" t="s">
        <v>16</v>
      </c>
      <c r="F91" t="s">
        <v>17</v>
      </c>
      <c r="G91" t="s">
        <v>27</v>
      </c>
      <c r="H91">
        <v>23</v>
      </c>
      <c r="I91" t="s">
        <v>338</v>
      </c>
      <c r="J91" t="s">
        <v>339</v>
      </c>
      <c r="K91" t="s">
        <v>340</v>
      </c>
      <c r="L91" t="s">
        <v>60</v>
      </c>
      <c r="M91" t="s">
        <v>21</v>
      </c>
    </row>
    <row r="92" spans="1:13" x14ac:dyDescent="0.35">
      <c r="A92">
        <v>20090</v>
      </c>
      <c r="B92" t="s">
        <v>341</v>
      </c>
      <c r="C92" t="s">
        <v>84</v>
      </c>
      <c r="D92" t="s">
        <v>55</v>
      </c>
      <c r="E92" t="s">
        <v>25</v>
      </c>
      <c r="F92" t="s">
        <v>26</v>
      </c>
      <c r="G92" t="s">
        <v>35</v>
      </c>
      <c r="H92">
        <v>7</v>
      </c>
      <c r="I92" t="s">
        <v>342</v>
      </c>
      <c r="J92" t="s">
        <v>343</v>
      </c>
      <c r="K92" t="s">
        <v>65</v>
      </c>
      <c r="L92" t="s">
        <v>30</v>
      </c>
      <c r="M92" t="s">
        <v>151</v>
      </c>
    </row>
    <row r="93" spans="1:13" x14ac:dyDescent="0.35">
      <c r="A93">
        <v>20091</v>
      </c>
      <c r="B93" t="s">
        <v>228</v>
      </c>
      <c r="C93" t="s">
        <v>153</v>
      </c>
      <c r="D93" t="s">
        <v>41</v>
      </c>
      <c r="E93" t="s">
        <v>107</v>
      </c>
      <c r="F93" t="s">
        <v>126</v>
      </c>
      <c r="G93" t="s">
        <v>43</v>
      </c>
      <c r="H93">
        <v>16</v>
      </c>
      <c r="I93" t="s">
        <v>344</v>
      </c>
      <c r="J93" t="s">
        <v>345</v>
      </c>
      <c r="L93" t="s">
        <v>60</v>
      </c>
      <c r="M93" t="s">
        <v>21</v>
      </c>
    </row>
    <row r="94" spans="1:13" x14ac:dyDescent="0.35">
      <c r="A94">
        <v>20092</v>
      </c>
      <c r="B94" t="s">
        <v>346</v>
      </c>
      <c r="C94" t="s">
        <v>88</v>
      </c>
      <c r="D94" t="s">
        <v>113</v>
      </c>
      <c r="E94" t="s">
        <v>69</v>
      </c>
      <c r="F94" t="s">
        <v>26</v>
      </c>
      <c r="G94" t="s">
        <v>27</v>
      </c>
      <c r="H94">
        <v>10</v>
      </c>
      <c r="I94" t="s">
        <v>347</v>
      </c>
      <c r="J94" t="s">
        <v>348</v>
      </c>
      <c r="K94" t="s">
        <v>72</v>
      </c>
      <c r="L94" t="s">
        <v>30</v>
      </c>
      <c r="M94" t="s">
        <v>21</v>
      </c>
    </row>
    <row r="95" spans="1:13" x14ac:dyDescent="0.35">
      <c r="A95">
        <v>20093</v>
      </c>
      <c r="B95" t="s">
        <v>349</v>
      </c>
      <c r="C95" t="s">
        <v>100</v>
      </c>
      <c r="D95" t="s">
        <v>68</v>
      </c>
      <c r="E95" t="s">
        <v>56</v>
      </c>
      <c r="F95" t="s">
        <v>17</v>
      </c>
      <c r="G95" t="s">
        <v>43</v>
      </c>
      <c r="H95">
        <v>13</v>
      </c>
      <c r="I95" t="s">
        <v>350</v>
      </c>
      <c r="J95" t="s">
        <v>351</v>
      </c>
      <c r="L95" t="s">
        <v>38</v>
      </c>
      <c r="M95" t="s">
        <v>21</v>
      </c>
    </row>
    <row r="96" spans="1:13" x14ac:dyDescent="0.35">
      <c r="A96">
        <v>20094</v>
      </c>
      <c r="B96" t="s">
        <v>306</v>
      </c>
      <c r="C96" t="s">
        <v>225</v>
      </c>
      <c r="D96" t="s">
        <v>113</v>
      </c>
      <c r="E96" t="s">
        <v>85</v>
      </c>
      <c r="F96" t="s">
        <v>17</v>
      </c>
      <c r="G96" t="s">
        <v>43</v>
      </c>
      <c r="H96">
        <v>2</v>
      </c>
      <c r="I96" t="s">
        <v>352</v>
      </c>
      <c r="J96" t="s">
        <v>353</v>
      </c>
      <c r="L96" t="s">
        <v>30</v>
      </c>
      <c r="M96" t="s">
        <v>21</v>
      </c>
    </row>
    <row r="97" spans="1:13" x14ac:dyDescent="0.35">
      <c r="A97">
        <v>20095</v>
      </c>
      <c r="B97" t="s">
        <v>354</v>
      </c>
      <c r="C97" t="s">
        <v>153</v>
      </c>
      <c r="D97" t="s">
        <v>121</v>
      </c>
      <c r="E97" t="s">
        <v>16</v>
      </c>
      <c r="F97" t="s">
        <v>17</v>
      </c>
      <c r="G97" t="s">
        <v>27</v>
      </c>
      <c r="H97">
        <v>19</v>
      </c>
      <c r="I97" t="s">
        <v>355</v>
      </c>
      <c r="J97" t="s">
        <v>356</v>
      </c>
      <c r="L97" t="s">
        <v>60</v>
      </c>
      <c r="M97" t="s">
        <v>21</v>
      </c>
    </row>
    <row r="98" spans="1:13" x14ac:dyDescent="0.35">
      <c r="A98">
        <v>20096</v>
      </c>
      <c r="B98" t="s">
        <v>357</v>
      </c>
      <c r="C98" t="s">
        <v>153</v>
      </c>
      <c r="D98" t="s">
        <v>41</v>
      </c>
      <c r="E98" t="s">
        <v>69</v>
      </c>
      <c r="F98" t="s">
        <v>26</v>
      </c>
      <c r="G98" t="s">
        <v>35</v>
      </c>
      <c r="H98">
        <v>14</v>
      </c>
      <c r="I98" t="s">
        <v>358</v>
      </c>
      <c r="J98" t="s">
        <v>359</v>
      </c>
      <c r="K98" t="s">
        <v>116</v>
      </c>
      <c r="L98" t="s">
        <v>60</v>
      </c>
      <c r="M98" t="s">
        <v>21</v>
      </c>
    </row>
    <row r="99" spans="1:13" x14ac:dyDescent="0.35">
      <c r="A99">
        <v>20097</v>
      </c>
      <c r="B99" t="s">
        <v>360</v>
      </c>
      <c r="C99" t="s">
        <v>246</v>
      </c>
      <c r="D99" t="s">
        <v>49</v>
      </c>
      <c r="E99" t="s">
        <v>25</v>
      </c>
      <c r="F99" t="s">
        <v>26</v>
      </c>
      <c r="G99" t="s">
        <v>43</v>
      </c>
      <c r="H99">
        <v>19</v>
      </c>
      <c r="I99" t="s">
        <v>361</v>
      </c>
      <c r="J99" t="s">
        <v>362</v>
      </c>
      <c r="L99" t="s">
        <v>132</v>
      </c>
      <c r="M99" t="s">
        <v>21</v>
      </c>
    </row>
    <row r="100" spans="1:13" x14ac:dyDescent="0.35">
      <c r="A100">
        <v>20098</v>
      </c>
      <c r="B100" t="s">
        <v>363</v>
      </c>
      <c r="C100" t="s">
        <v>14</v>
      </c>
      <c r="D100" t="s">
        <v>24</v>
      </c>
      <c r="E100" t="s">
        <v>50</v>
      </c>
      <c r="F100" t="s">
        <v>17</v>
      </c>
      <c r="G100" t="s">
        <v>76</v>
      </c>
      <c r="H100">
        <v>23</v>
      </c>
      <c r="I100" t="s">
        <v>364</v>
      </c>
      <c r="J100" t="s">
        <v>365</v>
      </c>
      <c r="M100" t="s">
        <v>151</v>
      </c>
    </row>
    <row r="101" spans="1:13" x14ac:dyDescent="0.35">
      <c r="A101">
        <v>20099</v>
      </c>
      <c r="B101" t="s">
        <v>366</v>
      </c>
      <c r="C101" t="s">
        <v>100</v>
      </c>
      <c r="D101" t="s">
        <v>141</v>
      </c>
      <c r="E101" t="s">
        <v>25</v>
      </c>
      <c r="F101" t="s">
        <v>26</v>
      </c>
      <c r="G101" t="s">
        <v>18</v>
      </c>
      <c r="H101">
        <v>13</v>
      </c>
      <c r="I101" t="s">
        <v>367</v>
      </c>
      <c r="J101" t="s">
        <v>368</v>
      </c>
      <c r="L101" t="s">
        <v>30</v>
      </c>
      <c r="M101" t="s">
        <v>151</v>
      </c>
    </row>
    <row r="102" spans="1:13" x14ac:dyDescent="0.35">
      <c r="A102">
        <v>20100</v>
      </c>
      <c r="B102" t="s">
        <v>186</v>
      </c>
      <c r="C102" t="s">
        <v>200</v>
      </c>
      <c r="D102" t="s">
        <v>113</v>
      </c>
      <c r="E102" t="s">
        <v>107</v>
      </c>
      <c r="F102" t="s">
        <v>26</v>
      </c>
      <c r="G102" t="s">
        <v>18</v>
      </c>
      <c r="H102">
        <v>9</v>
      </c>
      <c r="I102" t="s">
        <v>369</v>
      </c>
      <c r="J102" t="s">
        <v>370</v>
      </c>
      <c r="L102" t="s">
        <v>30</v>
      </c>
      <c r="M102" t="s">
        <v>151</v>
      </c>
    </row>
    <row r="103" spans="1:13" x14ac:dyDescent="0.35">
      <c r="A103">
        <v>20101</v>
      </c>
      <c r="B103" t="s">
        <v>371</v>
      </c>
      <c r="C103" t="s">
        <v>80</v>
      </c>
      <c r="D103" t="s">
        <v>75</v>
      </c>
      <c r="E103" t="s">
        <v>85</v>
      </c>
      <c r="F103" t="s">
        <v>187</v>
      </c>
      <c r="G103" t="s">
        <v>43</v>
      </c>
      <c r="H103">
        <v>12</v>
      </c>
      <c r="I103" t="s">
        <v>372</v>
      </c>
      <c r="J103" t="s">
        <v>373</v>
      </c>
      <c r="L103" t="s">
        <v>38</v>
      </c>
      <c r="M103" t="s">
        <v>21</v>
      </c>
    </row>
    <row r="104" spans="1:13" x14ac:dyDescent="0.35">
      <c r="A104">
        <v>20102</v>
      </c>
      <c r="B104" t="s">
        <v>374</v>
      </c>
      <c r="C104" t="s">
        <v>80</v>
      </c>
      <c r="D104" t="s">
        <v>15</v>
      </c>
      <c r="E104" t="s">
        <v>166</v>
      </c>
      <c r="F104" t="s">
        <v>17</v>
      </c>
      <c r="G104" t="s">
        <v>35</v>
      </c>
      <c r="H104">
        <v>7</v>
      </c>
      <c r="I104" t="s">
        <v>375</v>
      </c>
      <c r="J104" t="s">
        <v>376</v>
      </c>
      <c r="L104" t="s">
        <v>30</v>
      </c>
      <c r="M104" t="s">
        <v>21</v>
      </c>
    </row>
    <row r="105" spans="1:13" x14ac:dyDescent="0.35">
      <c r="A105">
        <v>20103</v>
      </c>
      <c r="B105" t="s">
        <v>377</v>
      </c>
      <c r="C105" t="s">
        <v>96</v>
      </c>
      <c r="D105" t="s">
        <v>314</v>
      </c>
      <c r="E105" t="s">
        <v>142</v>
      </c>
      <c r="F105" t="s">
        <v>187</v>
      </c>
      <c r="G105" t="s">
        <v>43</v>
      </c>
      <c r="H105">
        <v>16</v>
      </c>
      <c r="I105" t="s">
        <v>378</v>
      </c>
      <c r="J105" t="s">
        <v>379</v>
      </c>
      <c r="K105" t="s">
        <v>72</v>
      </c>
      <c r="L105" t="s">
        <v>30</v>
      </c>
      <c r="M105" t="s">
        <v>21</v>
      </c>
    </row>
    <row r="106" spans="1:13" x14ac:dyDescent="0.35">
      <c r="A106">
        <v>20104</v>
      </c>
      <c r="B106" t="s">
        <v>120</v>
      </c>
      <c r="C106" t="s">
        <v>118</v>
      </c>
      <c r="D106" t="s">
        <v>24</v>
      </c>
      <c r="E106" t="s">
        <v>50</v>
      </c>
      <c r="F106" t="s">
        <v>17</v>
      </c>
      <c r="G106" t="s">
        <v>43</v>
      </c>
      <c r="H106">
        <v>19</v>
      </c>
      <c r="J106" t="s">
        <v>380</v>
      </c>
      <c r="K106" t="s">
        <v>72</v>
      </c>
      <c r="L106" t="s">
        <v>60</v>
      </c>
      <c r="M106" t="s">
        <v>21</v>
      </c>
    </row>
    <row r="107" spans="1:13" x14ac:dyDescent="0.35">
      <c r="A107">
        <v>20105</v>
      </c>
      <c r="B107" t="s">
        <v>381</v>
      </c>
      <c r="C107" t="s">
        <v>125</v>
      </c>
      <c r="D107" t="s">
        <v>55</v>
      </c>
      <c r="E107" t="s">
        <v>85</v>
      </c>
      <c r="F107" t="s">
        <v>17</v>
      </c>
      <c r="G107" t="s">
        <v>35</v>
      </c>
      <c r="H107">
        <v>3</v>
      </c>
      <c r="I107" t="s">
        <v>382</v>
      </c>
      <c r="J107" t="s">
        <v>383</v>
      </c>
      <c r="L107" t="s">
        <v>30</v>
      </c>
      <c r="M107" t="s">
        <v>21</v>
      </c>
    </row>
    <row r="108" spans="1:13" x14ac:dyDescent="0.35">
      <c r="A108">
        <v>20106</v>
      </c>
      <c r="B108" t="s">
        <v>272</v>
      </c>
      <c r="C108" t="s">
        <v>84</v>
      </c>
      <c r="D108" t="s">
        <v>55</v>
      </c>
      <c r="E108" t="s">
        <v>85</v>
      </c>
      <c r="F108" t="s">
        <v>17</v>
      </c>
      <c r="G108" t="s">
        <v>43</v>
      </c>
      <c r="H108">
        <v>1</v>
      </c>
      <c r="I108" t="s">
        <v>384</v>
      </c>
      <c r="J108" t="s">
        <v>385</v>
      </c>
      <c r="K108" t="s">
        <v>72</v>
      </c>
      <c r="L108" t="s">
        <v>38</v>
      </c>
      <c r="M108" t="s">
        <v>21</v>
      </c>
    </row>
    <row r="109" spans="1:13" x14ac:dyDescent="0.35">
      <c r="A109">
        <v>20107</v>
      </c>
      <c r="B109" t="s">
        <v>165</v>
      </c>
      <c r="C109" t="s">
        <v>118</v>
      </c>
      <c r="D109" t="s">
        <v>177</v>
      </c>
      <c r="E109" t="s">
        <v>50</v>
      </c>
      <c r="F109" t="s">
        <v>17</v>
      </c>
      <c r="G109" t="s">
        <v>57</v>
      </c>
      <c r="H109">
        <v>11</v>
      </c>
      <c r="I109" t="s">
        <v>386</v>
      </c>
      <c r="J109" t="s">
        <v>387</v>
      </c>
      <c r="K109" t="s">
        <v>116</v>
      </c>
      <c r="L109" t="s">
        <v>60</v>
      </c>
      <c r="M109" t="s">
        <v>21</v>
      </c>
    </row>
    <row r="110" spans="1:13" x14ac:dyDescent="0.35">
      <c r="A110">
        <v>20108</v>
      </c>
      <c r="B110" t="s">
        <v>388</v>
      </c>
      <c r="C110" t="s">
        <v>23</v>
      </c>
      <c r="D110" t="s">
        <v>75</v>
      </c>
      <c r="E110" t="s">
        <v>42</v>
      </c>
      <c r="F110" t="s">
        <v>17</v>
      </c>
      <c r="G110" t="s">
        <v>76</v>
      </c>
      <c r="H110">
        <v>20</v>
      </c>
      <c r="I110" t="s">
        <v>389</v>
      </c>
      <c r="J110" t="s">
        <v>390</v>
      </c>
      <c r="K110" t="s">
        <v>72</v>
      </c>
      <c r="L110" t="s">
        <v>60</v>
      </c>
      <c r="M110" t="s">
        <v>21</v>
      </c>
    </row>
    <row r="111" spans="1:13" x14ac:dyDescent="0.35">
      <c r="A111">
        <v>20109</v>
      </c>
      <c r="B111" t="s">
        <v>391</v>
      </c>
      <c r="C111" t="s">
        <v>48</v>
      </c>
      <c r="D111" t="s">
        <v>314</v>
      </c>
      <c r="E111" t="s">
        <v>101</v>
      </c>
      <c r="F111" t="s">
        <v>17</v>
      </c>
      <c r="G111" t="s">
        <v>43</v>
      </c>
      <c r="H111">
        <v>5</v>
      </c>
      <c r="I111" t="s">
        <v>392</v>
      </c>
      <c r="J111" t="s">
        <v>393</v>
      </c>
      <c r="L111" t="s">
        <v>60</v>
      </c>
      <c r="M111" t="s">
        <v>21</v>
      </c>
    </row>
    <row r="112" spans="1:13" x14ac:dyDescent="0.35">
      <c r="A112">
        <v>20110</v>
      </c>
      <c r="B112" t="s">
        <v>394</v>
      </c>
      <c r="C112" t="s">
        <v>14</v>
      </c>
      <c r="D112" t="s">
        <v>177</v>
      </c>
      <c r="E112" t="s">
        <v>42</v>
      </c>
      <c r="F112" t="s">
        <v>395</v>
      </c>
      <c r="G112" t="s">
        <v>57</v>
      </c>
      <c r="H112">
        <v>8</v>
      </c>
      <c r="I112" t="s">
        <v>396</v>
      </c>
      <c r="J112" t="s">
        <v>397</v>
      </c>
      <c r="K112" t="s">
        <v>104</v>
      </c>
      <c r="L112" t="s">
        <v>30</v>
      </c>
      <c r="M112" t="s">
        <v>21</v>
      </c>
    </row>
    <row r="113" spans="1:13" x14ac:dyDescent="0.35">
      <c r="A113">
        <v>20111</v>
      </c>
      <c r="B113" t="s">
        <v>180</v>
      </c>
      <c r="C113" t="s">
        <v>140</v>
      </c>
      <c r="D113" t="s">
        <v>141</v>
      </c>
      <c r="E113" t="s">
        <v>25</v>
      </c>
      <c r="F113" t="s">
        <v>26</v>
      </c>
      <c r="G113" t="s">
        <v>18</v>
      </c>
      <c r="H113">
        <v>18</v>
      </c>
      <c r="I113" t="s">
        <v>398</v>
      </c>
      <c r="J113" t="s">
        <v>399</v>
      </c>
      <c r="K113" t="s">
        <v>72</v>
      </c>
      <c r="L113" t="s">
        <v>60</v>
      </c>
      <c r="M113" t="s">
        <v>21</v>
      </c>
    </row>
    <row r="114" spans="1:13" x14ac:dyDescent="0.35">
      <c r="A114">
        <v>20112</v>
      </c>
      <c r="B114" t="s">
        <v>400</v>
      </c>
      <c r="C114" t="s">
        <v>84</v>
      </c>
      <c r="D114" t="s">
        <v>170</v>
      </c>
      <c r="E114" t="s">
        <v>101</v>
      </c>
      <c r="F114" t="s">
        <v>17</v>
      </c>
      <c r="G114" t="s">
        <v>76</v>
      </c>
      <c r="H114">
        <v>7</v>
      </c>
      <c r="I114" t="s">
        <v>401</v>
      </c>
      <c r="J114" t="s">
        <v>402</v>
      </c>
      <c r="K114" t="s">
        <v>65</v>
      </c>
      <c r="L114" t="s">
        <v>30</v>
      </c>
      <c r="M114" t="s">
        <v>151</v>
      </c>
    </row>
    <row r="115" spans="1:13" x14ac:dyDescent="0.35">
      <c r="A115">
        <v>20113</v>
      </c>
      <c r="B115" t="s">
        <v>292</v>
      </c>
      <c r="C115" t="s">
        <v>48</v>
      </c>
      <c r="D115" t="s">
        <v>314</v>
      </c>
      <c r="E115" t="s">
        <v>25</v>
      </c>
      <c r="F115" t="s">
        <v>26</v>
      </c>
      <c r="G115" t="s">
        <v>35</v>
      </c>
      <c r="H115">
        <v>19</v>
      </c>
      <c r="I115" t="s">
        <v>403</v>
      </c>
      <c r="J115" t="s">
        <v>404</v>
      </c>
      <c r="L115" t="s">
        <v>60</v>
      </c>
      <c r="M115" t="s">
        <v>21</v>
      </c>
    </row>
    <row r="116" spans="1:13" x14ac:dyDescent="0.35">
      <c r="A116">
        <v>20114</v>
      </c>
      <c r="B116" t="s">
        <v>405</v>
      </c>
      <c r="C116" t="s">
        <v>80</v>
      </c>
      <c r="D116" t="s">
        <v>177</v>
      </c>
      <c r="E116" t="s">
        <v>101</v>
      </c>
      <c r="F116" t="s">
        <v>395</v>
      </c>
      <c r="G116" t="s">
        <v>18</v>
      </c>
      <c r="H116">
        <v>21</v>
      </c>
      <c r="I116" t="s">
        <v>406</v>
      </c>
      <c r="J116" t="s">
        <v>407</v>
      </c>
      <c r="K116" t="s">
        <v>116</v>
      </c>
      <c r="L116" t="s">
        <v>132</v>
      </c>
      <c r="M116" t="s">
        <v>21</v>
      </c>
    </row>
    <row r="117" spans="1:13" x14ac:dyDescent="0.35">
      <c r="A117">
        <v>20115</v>
      </c>
      <c r="B117" t="s">
        <v>408</v>
      </c>
      <c r="C117" t="s">
        <v>67</v>
      </c>
      <c r="D117" t="s">
        <v>141</v>
      </c>
      <c r="E117" t="s">
        <v>107</v>
      </c>
      <c r="F117" t="s">
        <v>26</v>
      </c>
      <c r="G117" t="s">
        <v>43</v>
      </c>
      <c r="H117">
        <v>18</v>
      </c>
      <c r="I117" t="s">
        <v>409</v>
      </c>
      <c r="J117" t="s">
        <v>410</v>
      </c>
      <c r="L117" t="s">
        <v>60</v>
      </c>
      <c r="M117" t="s">
        <v>21</v>
      </c>
    </row>
    <row r="118" spans="1:13" x14ac:dyDescent="0.35">
      <c r="A118">
        <v>20116</v>
      </c>
      <c r="B118" t="s">
        <v>411</v>
      </c>
      <c r="C118" t="s">
        <v>200</v>
      </c>
      <c r="D118" t="s">
        <v>89</v>
      </c>
      <c r="E118" t="s">
        <v>107</v>
      </c>
      <c r="F118" t="s">
        <v>26</v>
      </c>
      <c r="G118" t="s">
        <v>18</v>
      </c>
      <c r="H118">
        <v>14</v>
      </c>
      <c r="I118" t="s">
        <v>412</v>
      </c>
      <c r="J118" t="s">
        <v>413</v>
      </c>
      <c r="L118" t="s">
        <v>60</v>
      </c>
      <c r="M118" t="s">
        <v>21</v>
      </c>
    </row>
    <row r="119" spans="1:13" x14ac:dyDescent="0.35">
      <c r="A119">
        <v>20117</v>
      </c>
      <c r="B119" t="s">
        <v>31</v>
      </c>
      <c r="C119" t="s">
        <v>243</v>
      </c>
      <c r="D119" t="s">
        <v>89</v>
      </c>
      <c r="E119" t="s">
        <v>56</v>
      </c>
      <c r="F119" t="s">
        <v>17</v>
      </c>
      <c r="G119" t="s">
        <v>76</v>
      </c>
      <c r="H119">
        <v>3</v>
      </c>
      <c r="I119" t="s">
        <v>414</v>
      </c>
      <c r="J119" t="s">
        <v>415</v>
      </c>
      <c r="K119" t="s">
        <v>116</v>
      </c>
      <c r="L119" t="s">
        <v>30</v>
      </c>
      <c r="M119" t="s">
        <v>21</v>
      </c>
    </row>
    <row r="120" spans="1:13" x14ac:dyDescent="0.35">
      <c r="A120">
        <v>20118</v>
      </c>
      <c r="B120" t="s">
        <v>416</v>
      </c>
      <c r="C120" t="s">
        <v>246</v>
      </c>
      <c r="D120" t="s">
        <v>314</v>
      </c>
      <c r="E120" t="s">
        <v>85</v>
      </c>
      <c r="F120" t="s">
        <v>17</v>
      </c>
      <c r="G120" t="s">
        <v>27</v>
      </c>
      <c r="H120">
        <v>20</v>
      </c>
      <c r="I120" t="s">
        <v>417</v>
      </c>
      <c r="J120" t="s">
        <v>418</v>
      </c>
      <c r="K120" t="s">
        <v>116</v>
      </c>
      <c r="L120" t="s">
        <v>60</v>
      </c>
      <c r="M120" t="s">
        <v>151</v>
      </c>
    </row>
    <row r="121" spans="1:13" x14ac:dyDescent="0.35">
      <c r="A121">
        <v>20119</v>
      </c>
      <c r="B121" t="s">
        <v>419</v>
      </c>
      <c r="C121" t="s">
        <v>23</v>
      </c>
      <c r="D121" t="s">
        <v>177</v>
      </c>
      <c r="E121" t="s">
        <v>16</v>
      </c>
      <c r="F121" t="s">
        <v>17</v>
      </c>
      <c r="G121" t="s">
        <v>43</v>
      </c>
      <c r="H121">
        <v>20</v>
      </c>
      <c r="I121" t="s">
        <v>420</v>
      </c>
      <c r="J121" t="s">
        <v>421</v>
      </c>
      <c r="L121" t="s">
        <v>60</v>
      </c>
      <c r="M121" t="s">
        <v>21</v>
      </c>
    </row>
    <row r="122" spans="1:13" x14ac:dyDescent="0.35">
      <c r="A122">
        <v>20120</v>
      </c>
      <c r="B122" t="s">
        <v>422</v>
      </c>
      <c r="C122" t="s">
        <v>88</v>
      </c>
      <c r="D122" t="s">
        <v>113</v>
      </c>
      <c r="E122" t="s">
        <v>166</v>
      </c>
      <c r="F122" t="s">
        <v>17</v>
      </c>
      <c r="G122" t="s">
        <v>43</v>
      </c>
      <c r="H122">
        <v>20</v>
      </c>
      <c r="I122" t="s">
        <v>423</v>
      </c>
      <c r="J122" t="s">
        <v>424</v>
      </c>
      <c r="K122" t="s">
        <v>104</v>
      </c>
      <c r="L122" t="s">
        <v>38</v>
      </c>
      <c r="M122" t="s">
        <v>21</v>
      </c>
    </row>
    <row r="123" spans="1:13" x14ac:dyDescent="0.35">
      <c r="A123">
        <v>20121</v>
      </c>
      <c r="B123" t="s">
        <v>47</v>
      </c>
      <c r="C123" t="s">
        <v>125</v>
      </c>
      <c r="D123" t="s">
        <v>170</v>
      </c>
      <c r="E123" t="s">
        <v>142</v>
      </c>
      <c r="F123" t="s">
        <v>17</v>
      </c>
      <c r="G123" t="s">
        <v>43</v>
      </c>
      <c r="H123">
        <v>9</v>
      </c>
      <c r="I123" t="s">
        <v>425</v>
      </c>
      <c r="J123" t="s">
        <v>426</v>
      </c>
      <c r="K123" t="s">
        <v>104</v>
      </c>
      <c r="L123" t="s">
        <v>30</v>
      </c>
      <c r="M123" t="s">
        <v>21</v>
      </c>
    </row>
    <row r="124" spans="1:13" x14ac:dyDescent="0.35">
      <c r="A124">
        <v>20122</v>
      </c>
      <c r="B124" t="s">
        <v>405</v>
      </c>
      <c r="C124" t="s">
        <v>23</v>
      </c>
      <c r="D124" t="s">
        <v>24</v>
      </c>
      <c r="E124" t="s">
        <v>142</v>
      </c>
      <c r="F124" t="s">
        <v>17</v>
      </c>
      <c r="G124" t="s">
        <v>76</v>
      </c>
      <c r="H124">
        <v>15</v>
      </c>
      <c r="I124" t="s">
        <v>427</v>
      </c>
      <c r="J124" t="s">
        <v>428</v>
      </c>
      <c r="L124" t="s">
        <v>30</v>
      </c>
      <c r="M124" t="s">
        <v>21</v>
      </c>
    </row>
    <row r="125" spans="1:13" x14ac:dyDescent="0.35">
      <c r="A125">
        <v>20123</v>
      </c>
      <c r="B125" t="s">
        <v>429</v>
      </c>
      <c r="C125" t="s">
        <v>125</v>
      </c>
      <c r="D125" t="s">
        <v>55</v>
      </c>
      <c r="E125" t="s">
        <v>34</v>
      </c>
      <c r="F125" t="s">
        <v>26</v>
      </c>
      <c r="G125" t="s">
        <v>18</v>
      </c>
      <c r="H125">
        <v>24</v>
      </c>
      <c r="I125" t="s">
        <v>430</v>
      </c>
      <c r="J125" t="s">
        <v>431</v>
      </c>
      <c r="K125" t="s">
        <v>72</v>
      </c>
      <c r="L125" t="s">
        <v>60</v>
      </c>
      <c r="M125" t="s">
        <v>21</v>
      </c>
    </row>
    <row r="126" spans="1:13" x14ac:dyDescent="0.35">
      <c r="A126">
        <v>20124</v>
      </c>
      <c r="B126" t="s">
        <v>99</v>
      </c>
      <c r="C126" t="s">
        <v>88</v>
      </c>
      <c r="D126" t="s">
        <v>113</v>
      </c>
      <c r="E126" t="s">
        <v>166</v>
      </c>
      <c r="F126" t="s">
        <v>17</v>
      </c>
      <c r="G126" t="s">
        <v>57</v>
      </c>
      <c r="H126">
        <v>11</v>
      </c>
      <c r="I126" t="s">
        <v>432</v>
      </c>
      <c r="J126" t="s">
        <v>433</v>
      </c>
      <c r="L126" t="s">
        <v>30</v>
      </c>
      <c r="M126" t="s">
        <v>21</v>
      </c>
    </row>
    <row r="127" spans="1:13" x14ac:dyDescent="0.35">
      <c r="A127">
        <v>20125</v>
      </c>
      <c r="B127" t="s">
        <v>434</v>
      </c>
      <c r="C127" t="s">
        <v>74</v>
      </c>
      <c r="D127" t="s">
        <v>177</v>
      </c>
      <c r="E127" t="s">
        <v>107</v>
      </c>
      <c r="F127" t="s">
        <v>26</v>
      </c>
      <c r="G127" t="s">
        <v>35</v>
      </c>
      <c r="H127">
        <v>19</v>
      </c>
      <c r="I127" t="s">
        <v>435</v>
      </c>
      <c r="J127" t="s">
        <v>436</v>
      </c>
      <c r="L127" t="s">
        <v>30</v>
      </c>
      <c r="M127" t="s">
        <v>21</v>
      </c>
    </row>
    <row r="128" spans="1:13" x14ac:dyDescent="0.35">
      <c r="A128">
        <v>20126</v>
      </c>
      <c r="B128" t="s">
        <v>437</v>
      </c>
      <c r="C128" t="s">
        <v>14</v>
      </c>
      <c r="D128" t="s">
        <v>75</v>
      </c>
      <c r="E128" t="s">
        <v>16</v>
      </c>
      <c r="F128" t="s">
        <v>17</v>
      </c>
      <c r="G128" t="s">
        <v>76</v>
      </c>
      <c r="H128">
        <v>13</v>
      </c>
      <c r="I128" t="s">
        <v>438</v>
      </c>
      <c r="J128" t="s">
        <v>439</v>
      </c>
      <c r="K128" t="s">
        <v>72</v>
      </c>
      <c r="L128" t="s">
        <v>60</v>
      </c>
      <c r="M128" t="s">
        <v>21</v>
      </c>
    </row>
    <row r="129" spans="1:13" x14ac:dyDescent="0.35">
      <c r="A129">
        <v>20127</v>
      </c>
      <c r="B129" t="s">
        <v>300</v>
      </c>
      <c r="C129" t="s">
        <v>62</v>
      </c>
      <c r="D129" t="s">
        <v>55</v>
      </c>
      <c r="E129" t="s">
        <v>25</v>
      </c>
      <c r="F129" t="s">
        <v>26</v>
      </c>
      <c r="G129" t="s">
        <v>76</v>
      </c>
      <c r="H129">
        <v>3</v>
      </c>
      <c r="I129" t="s">
        <v>90</v>
      </c>
      <c r="J129" t="s">
        <v>440</v>
      </c>
      <c r="K129" t="s">
        <v>116</v>
      </c>
      <c r="L129" t="s">
        <v>30</v>
      </c>
      <c r="M129" t="s">
        <v>21</v>
      </c>
    </row>
    <row r="130" spans="1:13" x14ac:dyDescent="0.35">
      <c r="A130">
        <v>20128</v>
      </c>
      <c r="B130" t="s">
        <v>441</v>
      </c>
      <c r="C130" t="s">
        <v>14</v>
      </c>
      <c r="D130" t="s">
        <v>15</v>
      </c>
      <c r="E130" t="s">
        <v>56</v>
      </c>
      <c r="F130" t="s">
        <v>17</v>
      </c>
      <c r="G130" t="s">
        <v>27</v>
      </c>
      <c r="H130">
        <v>14</v>
      </c>
      <c r="I130" t="s">
        <v>442</v>
      </c>
      <c r="J130" t="s">
        <v>443</v>
      </c>
      <c r="K130" t="s">
        <v>65</v>
      </c>
      <c r="L130" t="s">
        <v>60</v>
      </c>
      <c r="M130" t="s">
        <v>21</v>
      </c>
    </row>
    <row r="131" spans="1:13" x14ac:dyDescent="0.35">
      <c r="A131">
        <v>20129</v>
      </c>
      <c r="B131" t="s">
        <v>61</v>
      </c>
      <c r="C131" t="s">
        <v>118</v>
      </c>
      <c r="D131" t="s">
        <v>15</v>
      </c>
      <c r="E131" t="s">
        <v>16</v>
      </c>
      <c r="F131" t="s">
        <v>17</v>
      </c>
      <c r="G131" t="s">
        <v>43</v>
      </c>
      <c r="H131">
        <v>25</v>
      </c>
      <c r="I131" t="s">
        <v>444</v>
      </c>
      <c r="J131" t="s">
        <v>445</v>
      </c>
      <c r="L131" t="s">
        <v>60</v>
      </c>
    </row>
    <row r="132" spans="1:13" x14ac:dyDescent="0.35">
      <c r="A132">
        <v>20130</v>
      </c>
      <c r="B132" t="s">
        <v>446</v>
      </c>
      <c r="C132" t="s">
        <v>80</v>
      </c>
      <c r="D132" t="s">
        <v>24</v>
      </c>
      <c r="E132" t="s">
        <v>101</v>
      </c>
      <c r="F132" t="s">
        <v>17</v>
      </c>
      <c r="G132" t="s">
        <v>27</v>
      </c>
      <c r="H132">
        <v>-4</v>
      </c>
      <c r="I132" t="s">
        <v>447</v>
      </c>
      <c r="J132" t="s">
        <v>448</v>
      </c>
      <c r="L132" t="s">
        <v>30</v>
      </c>
      <c r="M132" t="s">
        <v>21</v>
      </c>
    </row>
    <row r="133" spans="1:13" x14ac:dyDescent="0.35">
      <c r="A133">
        <v>20131</v>
      </c>
      <c r="B133" t="s">
        <v>449</v>
      </c>
      <c r="C133" t="s">
        <v>246</v>
      </c>
      <c r="D133" t="s">
        <v>314</v>
      </c>
      <c r="E133" t="s">
        <v>50</v>
      </c>
      <c r="F133" t="s">
        <v>17</v>
      </c>
      <c r="G133" t="s">
        <v>35</v>
      </c>
      <c r="H133">
        <v>4</v>
      </c>
      <c r="I133" t="s">
        <v>450</v>
      </c>
      <c r="J133" t="s">
        <v>451</v>
      </c>
      <c r="K133" t="s">
        <v>72</v>
      </c>
      <c r="L133" t="s">
        <v>30</v>
      </c>
      <c r="M133" t="s">
        <v>21</v>
      </c>
    </row>
    <row r="134" spans="1:13" x14ac:dyDescent="0.35">
      <c r="A134">
        <v>20132</v>
      </c>
      <c r="B134" t="s">
        <v>452</v>
      </c>
      <c r="C134" t="s">
        <v>32</v>
      </c>
      <c r="D134" t="s">
        <v>33</v>
      </c>
      <c r="E134" t="s">
        <v>50</v>
      </c>
      <c r="F134" t="s">
        <v>17</v>
      </c>
      <c r="G134" t="s">
        <v>43</v>
      </c>
      <c r="H134">
        <v>17</v>
      </c>
      <c r="I134" t="s">
        <v>453</v>
      </c>
      <c r="J134" t="s">
        <v>454</v>
      </c>
      <c r="L134" t="s">
        <v>60</v>
      </c>
      <c r="M134" t="s">
        <v>21</v>
      </c>
    </row>
    <row r="135" spans="1:13" x14ac:dyDescent="0.35">
      <c r="A135">
        <v>20133</v>
      </c>
      <c r="B135" t="s">
        <v>455</v>
      </c>
      <c r="C135" t="s">
        <v>100</v>
      </c>
      <c r="D135" t="s">
        <v>33</v>
      </c>
      <c r="E135" t="s">
        <v>142</v>
      </c>
      <c r="F135" t="s">
        <v>17</v>
      </c>
      <c r="G135" t="s">
        <v>18</v>
      </c>
      <c r="H135">
        <v>16</v>
      </c>
      <c r="I135" t="s">
        <v>90</v>
      </c>
      <c r="J135" t="s">
        <v>456</v>
      </c>
      <c r="L135" t="s">
        <v>60</v>
      </c>
      <c r="M135" t="s">
        <v>21</v>
      </c>
    </row>
    <row r="136" spans="1:13" x14ac:dyDescent="0.35">
      <c r="A136">
        <v>20134</v>
      </c>
      <c r="B136" t="s">
        <v>457</v>
      </c>
      <c r="C136" t="s">
        <v>153</v>
      </c>
      <c r="D136" t="s">
        <v>121</v>
      </c>
      <c r="E136" t="s">
        <v>56</v>
      </c>
      <c r="F136" t="s">
        <v>17</v>
      </c>
      <c r="G136" t="s">
        <v>76</v>
      </c>
      <c r="H136">
        <v>16</v>
      </c>
      <c r="I136" t="s">
        <v>458</v>
      </c>
      <c r="J136" t="s">
        <v>459</v>
      </c>
      <c r="K136" t="s">
        <v>46</v>
      </c>
      <c r="L136" t="s">
        <v>30</v>
      </c>
      <c r="M136" t="s">
        <v>21</v>
      </c>
    </row>
    <row r="137" spans="1:13" x14ac:dyDescent="0.35">
      <c r="A137">
        <v>20103</v>
      </c>
      <c r="B137" t="s">
        <v>460</v>
      </c>
      <c r="C137" t="s">
        <v>100</v>
      </c>
      <c r="D137" t="s">
        <v>141</v>
      </c>
      <c r="E137" t="s">
        <v>101</v>
      </c>
      <c r="F137" t="s">
        <v>17</v>
      </c>
      <c r="G137" t="s">
        <v>35</v>
      </c>
      <c r="H137">
        <v>17</v>
      </c>
      <c r="I137" t="s">
        <v>461</v>
      </c>
      <c r="J137" t="s">
        <v>462</v>
      </c>
      <c r="L137" t="s">
        <v>30</v>
      </c>
      <c r="M137" t="s">
        <v>21</v>
      </c>
    </row>
    <row r="138" spans="1:13" x14ac:dyDescent="0.35">
      <c r="A138">
        <v>20136</v>
      </c>
      <c r="B138" t="s">
        <v>463</v>
      </c>
      <c r="C138" t="s">
        <v>54</v>
      </c>
      <c r="D138" t="s">
        <v>170</v>
      </c>
      <c r="E138" t="s">
        <v>142</v>
      </c>
      <c r="F138" t="s">
        <v>17</v>
      </c>
      <c r="G138" t="s">
        <v>57</v>
      </c>
      <c r="H138">
        <v>25</v>
      </c>
      <c r="I138" t="s">
        <v>464</v>
      </c>
      <c r="J138" t="s">
        <v>465</v>
      </c>
      <c r="K138" t="s">
        <v>72</v>
      </c>
      <c r="L138" t="s">
        <v>60</v>
      </c>
      <c r="M138" t="s">
        <v>21</v>
      </c>
    </row>
    <row r="139" spans="1:13" x14ac:dyDescent="0.35">
      <c r="A139">
        <v>20137</v>
      </c>
      <c r="B139" t="s">
        <v>117</v>
      </c>
      <c r="C139" t="s">
        <v>74</v>
      </c>
      <c r="D139" t="s">
        <v>75</v>
      </c>
      <c r="E139" t="s">
        <v>85</v>
      </c>
      <c r="F139" t="s">
        <v>17</v>
      </c>
      <c r="G139" t="s">
        <v>57</v>
      </c>
      <c r="H139">
        <v>14</v>
      </c>
      <c r="I139" t="s">
        <v>466</v>
      </c>
      <c r="J139" t="s">
        <v>467</v>
      </c>
      <c r="L139" t="s">
        <v>30</v>
      </c>
      <c r="M139" t="s">
        <v>21</v>
      </c>
    </row>
    <row r="140" spans="1:13" x14ac:dyDescent="0.35">
      <c r="A140">
        <v>20138</v>
      </c>
      <c r="B140" t="s">
        <v>394</v>
      </c>
      <c r="C140" t="s">
        <v>74</v>
      </c>
      <c r="D140" t="s">
        <v>24</v>
      </c>
      <c r="E140" t="s">
        <v>142</v>
      </c>
      <c r="F140" t="s">
        <v>17</v>
      </c>
      <c r="G140" t="s">
        <v>18</v>
      </c>
      <c r="H140">
        <v>18</v>
      </c>
      <c r="I140" t="s">
        <v>468</v>
      </c>
      <c r="J140" t="s">
        <v>469</v>
      </c>
      <c r="L140" t="s">
        <v>30</v>
      </c>
      <c r="M140" t="s">
        <v>21</v>
      </c>
    </row>
    <row r="141" spans="1:13" x14ac:dyDescent="0.35">
      <c r="A141">
        <v>20139</v>
      </c>
      <c r="B141" t="s">
        <v>470</v>
      </c>
      <c r="C141" t="s">
        <v>54</v>
      </c>
      <c r="D141" t="s">
        <v>170</v>
      </c>
      <c r="E141" t="s">
        <v>56</v>
      </c>
      <c r="F141" t="s">
        <v>187</v>
      </c>
      <c r="G141" t="s">
        <v>27</v>
      </c>
      <c r="H141">
        <v>5</v>
      </c>
      <c r="I141" t="s">
        <v>471</v>
      </c>
      <c r="J141" t="s">
        <v>472</v>
      </c>
      <c r="K141" t="s">
        <v>116</v>
      </c>
      <c r="L141" t="s">
        <v>60</v>
      </c>
      <c r="M141" t="s">
        <v>21</v>
      </c>
    </row>
    <row r="142" spans="1:13" x14ac:dyDescent="0.35">
      <c r="A142">
        <v>20140</v>
      </c>
      <c r="B142" t="s">
        <v>473</v>
      </c>
      <c r="C142" t="s">
        <v>40</v>
      </c>
      <c r="D142" t="s">
        <v>41</v>
      </c>
      <c r="E142" t="s">
        <v>107</v>
      </c>
      <c r="F142" t="s">
        <v>26</v>
      </c>
      <c r="G142" t="s">
        <v>57</v>
      </c>
      <c r="H142">
        <v>11</v>
      </c>
      <c r="I142" t="s">
        <v>474</v>
      </c>
      <c r="J142" t="s">
        <v>475</v>
      </c>
      <c r="L142" t="s">
        <v>30</v>
      </c>
      <c r="M142" t="s">
        <v>21</v>
      </c>
    </row>
    <row r="143" spans="1:13" x14ac:dyDescent="0.35">
      <c r="A143">
        <v>20141</v>
      </c>
      <c r="B143" t="s">
        <v>79</v>
      </c>
      <c r="C143" t="s">
        <v>153</v>
      </c>
      <c r="D143" t="s">
        <v>121</v>
      </c>
      <c r="E143" t="s">
        <v>142</v>
      </c>
      <c r="F143" t="s">
        <v>17</v>
      </c>
      <c r="G143" t="s">
        <v>57</v>
      </c>
      <c r="H143">
        <v>14</v>
      </c>
      <c r="I143" t="s">
        <v>476</v>
      </c>
      <c r="J143" t="s">
        <v>477</v>
      </c>
      <c r="L143" t="s">
        <v>60</v>
      </c>
      <c r="M143" t="s">
        <v>21</v>
      </c>
    </row>
    <row r="144" spans="1:13" x14ac:dyDescent="0.35">
      <c r="A144">
        <v>20142</v>
      </c>
      <c r="B144" t="s">
        <v>478</v>
      </c>
      <c r="C144" t="s">
        <v>243</v>
      </c>
      <c r="D144" t="s">
        <v>89</v>
      </c>
      <c r="E144" t="s">
        <v>85</v>
      </c>
      <c r="F144" t="s">
        <v>17</v>
      </c>
      <c r="G144" t="s">
        <v>18</v>
      </c>
      <c r="H144">
        <v>13</v>
      </c>
      <c r="I144" t="s">
        <v>479</v>
      </c>
      <c r="J144" t="s">
        <v>480</v>
      </c>
      <c r="K144" t="s">
        <v>220</v>
      </c>
      <c r="L144" t="s">
        <v>60</v>
      </c>
      <c r="M144" t="s">
        <v>21</v>
      </c>
    </row>
    <row r="145" spans="1:13" x14ac:dyDescent="0.35">
      <c r="A145">
        <v>20143</v>
      </c>
      <c r="B145" t="s">
        <v>377</v>
      </c>
      <c r="C145" t="s">
        <v>62</v>
      </c>
      <c r="D145" t="s">
        <v>170</v>
      </c>
      <c r="E145" t="s">
        <v>85</v>
      </c>
      <c r="F145" t="s">
        <v>187</v>
      </c>
      <c r="G145" t="s">
        <v>27</v>
      </c>
      <c r="H145">
        <v>17</v>
      </c>
      <c r="I145" t="s">
        <v>481</v>
      </c>
      <c r="J145" t="s">
        <v>482</v>
      </c>
      <c r="L145" t="s">
        <v>30</v>
      </c>
      <c r="M145" t="s">
        <v>21</v>
      </c>
    </row>
    <row r="146" spans="1:13" x14ac:dyDescent="0.35">
      <c r="A146">
        <v>20144</v>
      </c>
      <c r="B146" t="s">
        <v>483</v>
      </c>
      <c r="C146" t="s">
        <v>106</v>
      </c>
      <c r="D146" t="s">
        <v>49</v>
      </c>
      <c r="E146" t="s">
        <v>34</v>
      </c>
      <c r="F146" t="s">
        <v>26</v>
      </c>
      <c r="G146" t="s">
        <v>57</v>
      </c>
      <c r="H146">
        <v>25</v>
      </c>
      <c r="I146" t="s">
        <v>484</v>
      </c>
      <c r="J146" t="s">
        <v>485</v>
      </c>
      <c r="L146" t="s">
        <v>60</v>
      </c>
      <c r="M146" t="s">
        <v>21</v>
      </c>
    </row>
    <row r="147" spans="1:13" x14ac:dyDescent="0.35">
      <c r="A147">
        <v>20145</v>
      </c>
      <c r="B147" t="s">
        <v>486</v>
      </c>
      <c r="C147" t="s">
        <v>225</v>
      </c>
      <c r="D147" t="s">
        <v>113</v>
      </c>
      <c r="E147" t="s">
        <v>85</v>
      </c>
      <c r="F147" t="s">
        <v>17</v>
      </c>
      <c r="G147" t="s">
        <v>27</v>
      </c>
      <c r="H147">
        <v>-10</v>
      </c>
      <c r="I147" t="s">
        <v>487</v>
      </c>
      <c r="J147" t="s">
        <v>488</v>
      </c>
      <c r="K147" t="s">
        <v>72</v>
      </c>
      <c r="L147" t="s">
        <v>30</v>
      </c>
      <c r="M147" t="s">
        <v>21</v>
      </c>
    </row>
    <row r="148" spans="1:13" x14ac:dyDescent="0.35">
      <c r="A148">
        <v>20146</v>
      </c>
      <c r="B148" t="s">
        <v>489</v>
      </c>
      <c r="C148" t="s">
        <v>80</v>
      </c>
      <c r="D148" t="s">
        <v>177</v>
      </c>
      <c r="E148" t="s">
        <v>85</v>
      </c>
      <c r="F148" t="s">
        <v>17</v>
      </c>
      <c r="G148" t="s">
        <v>57</v>
      </c>
      <c r="H148">
        <v>7</v>
      </c>
      <c r="I148" t="s">
        <v>490</v>
      </c>
      <c r="J148" t="s">
        <v>491</v>
      </c>
      <c r="L148" t="s">
        <v>30</v>
      </c>
      <c r="M148" t="s">
        <v>21</v>
      </c>
    </row>
    <row r="149" spans="1:13" x14ac:dyDescent="0.35">
      <c r="A149">
        <v>20147</v>
      </c>
      <c r="B149" t="s">
        <v>492</v>
      </c>
      <c r="C149" t="s">
        <v>80</v>
      </c>
      <c r="D149" t="s">
        <v>177</v>
      </c>
      <c r="E149" t="s">
        <v>25</v>
      </c>
      <c r="F149" t="s">
        <v>26</v>
      </c>
      <c r="G149" t="s">
        <v>57</v>
      </c>
      <c r="H149">
        <v>22</v>
      </c>
      <c r="I149" t="s">
        <v>493</v>
      </c>
      <c r="J149" t="s">
        <v>494</v>
      </c>
      <c r="M149" t="s">
        <v>21</v>
      </c>
    </row>
    <row r="150" spans="1:13" x14ac:dyDescent="0.35">
      <c r="A150">
        <v>20148</v>
      </c>
      <c r="B150" t="s">
        <v>495</v>
      </c>
      <c r="C150" t="s">
        <v>264</v>
      </c>
      <c r="D150" t="s">
        <v>41</v>
      </c>
      <c r="E150" t="s">
        <v>69</v>
      </c>
      <c r="F150" t="s">
        <v>26</v>
      </c>
      <c r="G150" t="s">
        <v>43</v>
      </c>
      <c r="H150">
        <v>16</v>
      </c>
      <c r="I150" t="s">
        <v>496</v>
      </c>
      <c r="J150" t="s">
        <v>497</v>
      </c>
      <c r="K150" t="s">
        <v>72</v>
      </c>
      <c r="L150" t="s">
        <v>30</v>
      </c>
      <c r="M150" t="s">
        <v>21</v>
      </c>
    </row>
    <row r="151" spans="1:13" x14ac:dyDescent="0.35">
      <c r="A151">
        <v>20149</v>
      </c>
      <c r="B151" t="s">
        <v>311</v>
      </c>
      <c r="C151" t="s">
        <v>62</v>
      </c>
      <c r="D151" t="s">
        <v>55</v>
      </c>
      <c r="E151" t="s">
        <v>25</v>
      </c>
      <c r="F151" t="s">
        <v>26</v>
      </c>
      <c r="G151" t="s">
        <v>27</v>
      </c>
      <c r="H151">
        <v>19</v>
      </c>
      <c r="I151" t="s">
        <v>498</v>
      </c>
      <c r="J151" t="s">
        <v>499</v>
      </c>
      <c r="L151" t="s">
        <v>30</v>
      </c>
      <c r="M151" t="s">
        <v>21</v>
      </c>
    </row>
    <row r="152" spans="1:13" x14ac:dyDescent="0.35">
      <c r="A152">
        <v>20150</v>
      </c>
      <c r="B152" t="s">
        <v>215</v>
      </c>
      <c r="C152" t="s">
        <v>225</v>
      </c>
      <c r="D152" t="s">
        <v>113</v>
      </c>
      <c r="E152" t="s">
        <v>25</v>
      </c>
      <c r="F152" t="s">
        <v>26</v>
      </c>
      <c r="G152" t="s">
        <v>35</v>
      </c>
      <c r="H152">
        <v>17</v>
      </c>
      <c r="I152" t="s">
        <v>500</v>
      </c>
      <c r="J152" t="s">
        <v>501</v>
      </c>
      <c r="K152" t="s">
        <v>220</v>
      </c>
      <c r="L152" t="s">
        <v>30</v>
      </c>
      <c r="M152" t="s">
        <v>21</v>
      </c>
    </row>
    <row r="153" spans="1:13" x14ac:dyDescent="0.35">
      <c r="A153">
        <v>20151</v>
      </c>
      <c r="B153" t="s">
        <v>165</v>
      </c>
      <c r="C153" t="s">
        <v>32</v>
      </c>
      <c r="D153" t="s">
        <v>68</v>
      </c>
      <c r="E153" t="s">
        <v>69</v>
      </c>
      <c r="F153" t="s">
        <v>26</v>
      </c>
      <c r="G153" t="s">
        <v>35</v>
      </c>
      <c r="H153">
        <v>10</v>
      </c>
      <c r="I153" t="s">
        <v>502</v>
      </c>
      <c r="J153" t="s">
        <v>503</v>
      </c>
      <c r="K153" t="s">
        <v>116</v>
      </c>
      <c r="L153" t="s">
        <v>60</v>
      </c>
      <c r="M153" t="s">
        <v>21</v>
      </c>
    </row>
    <row r="154" spans="1:13" x14ac:dyDescent="0.35">
      <c r="A154">
        <v>20152</v>
      </c>
      <c r="B154" t="s">
        <v>504</v>
      </c>
      <c r="C154" t="s">
        <v>243</v>
      </c>
      <c r="D154" t="s">
        <v>89</v>
      </c>
      <c r="E154" t="s">
        <v>42</v>
      </c>
      <c r="F154" t="s">
        <v>17</v>
      </c>
      <c r="G154" t="s">
        <v>76</v>
      </c>
      <c r="H154">
        <v>13</v>
      </c>
      <c r="I154" t="s">
        <v>505</v>
      </c>
      <c r="J154" t="s">
        <v>506</v>
      </c>
      <c r="K154" t="s">
        <v>299</v>
      </c>
      <c r="L154" t="s">
        <v>30</v>
      </c>
      <c r="M154" t="s">
        <v>21</v>
      </c>
    </row>
    <row r="155" spans="1:13" x14ac:dyDescent="0.35">
      <c r="A155">
        <v>20153</v>
      </c>
      <c r="B155" t="s">
        <v>212</v>
      </c>
      <c r="C155" t="s">
        <v>74</v>
      </c>
      <c r="D155" t="s">
        <v>177</v>
      </c>
      <c r="E155" t="s">
        <v>42</v>
      </c>
      <c r="F155" t="s">
        <v>17</v>
      </c>
      <c r="G155" t="s">
        <v>27</v>
      </c>
      <c r="H155">
        <v>17</v>
      </c>
      <c r="I155" t="s">
        <v>507</v>
      </c>
      <c r="J155" t="s">
        <v>508</v>
      </c>
      <c r="L155" t="s">
        <v>30</v>
      </c>
      <c r="M155" t="s">
        <v>21</v>
      </c>
    </row>
    <row r="156" spans="1:13" x14ac:dyDescent="0.35">
      <c r="A156">
        <v>20154</v>
      </c>
      <c r="B156" t="s">
        <v>212</v>
      </c>
      <c r="C156" t="s">
        <v>74</v>
      </c>
      <c r="D156" t="s">
        <v>177</v>
      </c>
      <c r="E156" t="s">
        <v>25</v>
      </c>
      <c r="F156" t="s">
        <v>26</v>
      </c>
      <c r="G156" t="s">
        <v>35</v>
      </c>
      <c r="H156">
        <v>19</v>
      </c>
      <c r="I156" t="s">
        <v>509</v>
      </c>
      <c r="J156" t="s">
        <v>510</v>
      </c>
      <c r="L156" t="s">
        <v>60</v>
      </c>
      <c r="M156" t="s">
        <v>21</v>
      </c>
    </row>
    <row r="157" spans="1:13" x14ac:dyDescent="0.35">
      <c r="A157">
        <v>20155</v>
      </c>
      <c r="B157" t="s">
        <v>511</v>
      </c>
      <c r="C157" t="s">
        <v>80</v>
      </c>
      <c r="D157" t="s">
        <v>24</v>
      </c>
      <c r="E157" t="s">
        <v>166</v>
      </c>
      <c r="F157" t="s">
        <v>17</v>
      </c>
      <c r="G157" t="s">
        <v>27</v>
      </c>
      <c r="H157">
        <v>12</v>
      </c>
      <c r="I157" t="s">
        <v>512</v>
      </c>
      <c r="J157" t="s">
        <v>513</v>
      </c>
      <c r="L157" t="s">
        <v>30</v>
      </c>
      <c r="M157" t="s">
        <v>21</v>
      </c>
    </row>
    <row r="158" spans="1:13" x14ac:dyDescent="0.35">
      <c r="A158">
        <v>20156</v>
      </c>
      <c r="B158" t="s">
        <v>514</v>
      </c>
      <c r="C158" t="s">
        <v>74</v>
      </c>
      <c r="D158" t="s">
        <v>24</v>
      </c>
      <c r="E158" t="s">
        <v>85</v>
      </c>
      <c r="F158" t="s">
        <v>17</v>
      </c>
      <c r="G158" t="s">
        <v>43</v>
      </c>
      <c r="H158">
        <v>23</v>
      </c>
      <c r="I158" t="s">
        <v>515</v>
      </c>
      <c r="J158" t="s">
        <v>516</v>
      </c>
      <c r="K158" t="s">
        <v>340</v>
      </c>
      <c r="L158" t="s">
        <v>60</v>
      </c>
      <c r="M158" t="s">
        <v>151</v>
      </c>
    </row>
    <row r="159" spans="1:13" x14ac:dyDescent="0.35">
      <c r="A159">
        <v>20157</v>
      </c>
      <c r="B159" t="s">
        <v>517</v>
      </c>
      <c r="C159" t="s">
        <v>80</v>
      </c>
      <c r="D159" t="s">
        <v>24</v>
      </c>
      <c r="E159" t="s">
        <v>16</v>
      </c>
      <c r="F159" t="s">
        <v>395</v>
      </c>
      <c r="G159" t="s">
        <v>18</v>
      </c>
      <c r="H159">
        <v>17</v>
      </c>
      <c r="I159" t="s">
        <v>518</v>
      </c>
      <c r="J159" t="s">
        <v>519</v>
      </c>
      <c r="K159" t="s">
        <v>46</v>
      </c>
      <c r="L159" t="s">
        <v>30</v>
      </c>
      <c r="M159" t="s">
        <v>21</v>
      </c>
    </row>
    <row r="160" spans="1:13" x14ac:dyDescent="0.35">
      <c r="A160">
        <v>20158</v>
      </c>
      <c r="B160" t="s">
        <v>520</v>
      </c>
      <c r="C160" t="s">
        <v>106</v>
      </c>
      <c r="D160" t="s">
        <v>314</v>
      </c>
      <c r="E160" t="s">
        <v>69</v>
      </c>
      <c r="F160" t="s">
        <v>26</v>
      </c>
      <c r="G160" t="s">
        <v>27</v>
      </c>
      <c r="H160">
        <v>19</v>
      </c>
      <c r="I160" t="s">
        <v>521</v>
      </c>
      <c r="J160" t="s">
        <v>522</v>
      </c>
      <c r="L160" t="s">
        <v>60</v>
      </c>
      <c r="M160" t="s">
        <v>21</v>
      </c>
    </row>
    <row r="161" spans="1:13" x14ac:dyDescent="0.35">
      <c r="A161">
        <v>20159</v>
      </c>
      <c r="B161" t="s">
        <v>523</v>
      </c>
      <c r="C161" t="s">
        <v>23</v>
      </c>
      <c r="D161" t="s">
        <v>24</v>
      </c>
      <c r="E161" t="s">
        <v>50</v>
      </c>
      <c r="F161" t="s">
        <v>17</v>
      </c>
      <c r="G161" t="s">
        <v>18</v>
      </c>
      <c r="H161">
        <v>8</v>
      </c>
      <c r="I161" t="s">
        <v>524</v>
      </c>
      <c r="J161" t="s">
        <v>525</v>
      </c>
      <c r="K161" t="s">
        <v>72</v>
      </c>
      <c r="L161" t="s">
        <v>30</v>
      </c>
      <c r="M161" t="s">
        <v>21</v>
      </c>
    </row>
    <row r="162" spans="1:13" x14ac:dyDescent="0.35">
      <c r="A162">
        <v>20160</v>
      </c>
      <c r="B162" t="s">
        <v>303</v>
      </c>
      <c r="C162" t="s">
        <v>106</v>
      </c>
      <c r="D162" t="s">
        <v>314</v>
      </c>
      <c r="E162" t="s">
        <v>166</v>
      </c>
      <c r="F162" t="s">
        <v>17</v>
      </c>
      <c r="G162" t="s">
        <v>43</v>
      </c>
      <c r="H162">
        <v>8</v>
      </c>
      <c r="I162" t="s">
        <v>526</v>
      </c>
      <c r="J162" t="s">
        <v>527</v>
      </c>
      <c r="K162" t="s">
        <v>528</v>
      </c>
      <c r="L162" t="s">
        <v>30</v>
      </c>
      <c r="M162" t="s">
        <v>21</v>
      </c>
    </row>
    <row r="163" spans="1:13" x14ac:dyDescent="0.35">
      <c r="A163">
        <v>20161</v>
      </c>
      <c r="B163" t="s">
        <v>529</v>
      </c>
      <c r="C163" t="s">
        <v>80</v>
      </c>
      <c r="D163" t="s">
        <v>15</v>
      </c>
      <c r="E163" t="s">
        <v>56</v>
      </c>
      <c r="F163" t="s">
        <v>17</v>
      </c>
      <c r="G163" t="s">
        <v>18</v>
      </c>
      <c r="H163">
        <v>18</v>
      </c>
      <c r="I163" t="s">
        <v>530</v>
      </c>
      <c r="J163" t="s">
        <v>531</v>
      </c>
      <c r="L163" t="s">
        <v>60</v>
      </c>
      <c r="M163" t="s">
        <v>21</v>
      </c>
    </row>
    <row r="164" spans="1:13" x14ac:dyDescent="0.35">
      <c r="A164">
        <v>20162</v>
      </c>
      <c r="B164" t="s">
        <v>139</v>
      </c>
      <c r="C164" t="s">
        <v>67</v>
      </c>
      <c r="D164" t="s">
        <v>68</v>
      </c>
      <c r="E164" t="s">
        <v>16</v>
      </c>
      <c r="F164" t="s">
        <v>17</v>
      </c>
      <c r="G164" t="s">
        <v>76</v>
      </c>
      <c r="H164">
        <v>12</v>
      </c>
      <c r="I164" t="s">
        <v>532</v>
      </c>
      <c r="J164" t="s">
        <v>533</v>
      </c>
      <c r="K164" t="s">
        <v>65</v>
      </c>
      <c r="L164" t="s">
        <v>30</v>
      </c>
      <c r="M164" t="s">
        <v>21</v>
      </c>
    </row>
    <row r="165" spans="1:13" x14ac:dyDescent="0.35">
      <c r="A165">
        <v>20163</v>
      </c>
      <c r="B165" t="s">
        <v>534</v>
      </c>
      <c r="C165" t="s">
        <v>88</v>
      </c>
      <c r="D165" t="s">
        <v>113</v>
      </c>
      <c r="E165" t="s">
        <v>166</v>
      </c>
      <c r="F165" t="s">
        <v>17</v>
      </c>
      <c r="G165" t="s">
        <v>27</v>
      </c>
      <c r="H165">
        <v>25</v>
      </c>
      <c r="I165" t="s">
        <v>535</v>
      </c>
      <c r="J165" t="s">
        <v>536</v>
      </c>
      <c r="K165" t="s">
        <v>72</v>
      </c>
      <c r="L165" t="s">
        <v>60</v>
      </c>
      <c r="M165" t="s">
        <v>21</v>
      </c>
    </row>
    <row r="166" spans="1:13" x14ac:dyDescent="0.35">
      <c r="A166">
        <v>20164</v>
      </c>
      <c r="B166" t="s">
        <v>249</v>
      </c>
      <c r="C166" t="s">
        <v>246</v>
      </c>
      <c r="D166" t="s">
        <v>314</v>
      </c>
      <c r="E166" t="s">
        <v>107</v>
      </c>
      <c r="F166" t="s">
        <v>26</v>
      </c>
      <c r="G166" t="s">
        <v>35</v>
      </c>
      <c r="H166">
        <v>5</v>
      </c>
      <c r="I166" t="s">
        <v>537</v>
      </c>
      <c r="J166" t="s">
        <v>538</v>
      </c>
      <c r="K166" t="s">
        <v>104</v>
      </c>
      <c r="L166" t="s">
        <v>30</v>
      </c>
      <c r="M166" t="s">
        <v>21</v>
      </c>
    </row>
    <row r="167" spans="1:13" x14ac:dyDescent="0.35">
      <c r="A167">
        <v>20165</v>
      </c>
      <c r="B167" t="s">
        <v>539</v>
      </c>
      <c r="C167" t="s">
        <v>106</v>
      </c>
      <c r="D167" t="s">
        <v>314</v>
      </c>
      <c r="E167" t="s">
        <v>34</v>
      </c>
      <c r="F167" t="s">
        <v>26</v>
      </c>
      <c r="G167" t="s">
        <v>35</v>
      </c>
      <c r="H167">
        <v>15</v>
      </c>
      <c r="I167" t="s">
        <v>540</v>
      </c>
      <c r="J167" t="s">
        <v>541</v>
      </c>
      <c r="K167" t="s">
        <v>72</v>
      </c>
      <c r="L167" t="s">
        <v>60</v>
      </c>
      <c r="M167" t="s">
        <v>21</v>
      </c>
    </row>
    <row r="168" spans="1:13" x14ac:dyDescent="0.35">
      <c r="A168">
        <v>20166</v>
      </c>
      <c r="B168" t="s">
        <v>22</v>
      </c>
      <c r="C168" t="s">
        <v>264</v>
      </c>
      <c r="D168" t="s">
        <v>41</v>
      </c>
      <c r="E168" t="s">
        <v>69</v>
      </c>
      <c r="F168" t="s">
        <v>26</v>
      </c>
      <c r="G168" t="s">
        <v>27</v>
      </c>
      <c r="H168">
        <v>9</v>
      </c>
      <c r="I168" t="s">
        <v>542</v>
      </c>
      <c r="J168" t="s">
        <v>543</v>
      </c>
      <c r="L168" t="s">
        <v>30</v>
      </c>
      <c r="M168" t="s">
        <v>21</v>
      </c>
    </row>
    <row r="169" spans="1:13" x14ac:dyDescent="0.35">
      <c r="A169">
        <v>20167</v>
      </c>
      <c r="B169" t="s">
        <v>544</v>
      </c>
      <c r="C169" t="s">
        <v>118</v>
      </c>
      <c r="D169" t="s">
        <v>24</v>
      </c>
      <c r="E169" t="s">
        <v>166</v>
      </c>
      <c r="F169" t="s">
        <v>187</v>
      </c>
      <c r="G169" t="s">
        <v>27</v>
      </c>
      <c r="H169">
        <v>16</v>
      </c>
      <c r="I169" t="s">
        <v>545</v>
      </c>
      <c r="J169" t="s">
        <v>546</v>
      </c>
      <c r="K169" t="s">
        <v>65</v>
      </c>
      <c r="L169" t="s">
        <v>30</v>
      </c>
      <c r="M169" t="s">
        <v>21</v>
      </c>
    </row>
    <row r="170" spans="1:13" x14ac:dyDescent="0.35">
      <c r="A170">
        <v>20168</v>
      </c>
      <c r="B170" t="s">
        <v>152</v>
      </c>
      <c r="C170" t="s">
        <v>88</v>
      </c>
      <c r="D170" t="s">
        <v>113</v>
      </c>
      <c r="E170" t="s">
        <v>34</v>
      </c>
      <c r="F170" t="s">
        <v>26</v>
      </c>
      <c r="G170" t="s">
        <v>43</v>
      </c>
      <c r="H170">
        <v>14</v>
      </c>
      <c r="I170" t="s">
        <v>547</v>
      </c>
      <c r="J170" t="s">
        <v>548</v>
      </c>
      <c r="K170" t="s">
        <v>116</v>
      </c>
      <c r="L170" t="s">
        <v>60</v>
      </c>
      <c r="M170" t="s">
        <v>151</v>
      </c>
    </row>
    <row r="171" spans="1:13" x14ac:dyDescent="0.35">
      <c r="A171">
        <v>20169</v>
      </c>
      <c r="B171" t="s">
        <v>549</v>
      </c>
      <c r="C171" t="s">
        <v>67</v>
      </c>
      <c r="D171" t="s">
        <v>68</v>
      </c>
      <c r="E171" t="s">
        <v>69</v>
      </c>
      <c r="F171" t="s">
        <v>26</v>
      </c>
      <c r="G171" t="s">
        <v>35</v>
      </c>
      <c r="H171">
        <v>3</v>
      </c>
      <c r="I171" t="s">
        <v>550</v>
      </c>
      <c r="J171" t="s">
        <v>551</v>
      </c>
      <c r="L171" t="s">
        <v>30</v>
      </c>
      <c r="M171" t="s">
        <v>21</v>
      </c>
    </row>
    <row r="172" spans="1:13" x14ac:dyDescent="0.35">
      <c r="A172">
        <v>20170</v>
      </c>
      <c r="B172" t="s">
        <v>221</v>
      </c>
      <c r="C172" t="s">
        <v>243</v>
      </c>
      <c r="D172" t="s">
        <v>113</v>
      </c>
      <c r="E172" t="s">
        <v>107</v>
      </c>
      <c r="F172" t="s">
        <v>26</v>
      </c>
      <c r="G172" t="s">
        <v>43</v>
      </c>
      <c r="H172">
        <v>11</v>
      </c>
      <c r="I172" t="s">
        <v>552</v>
      </c>
      <c r="J172" t="s">
        <v>553</v>
      </c>
      <c r="K172" t="s">
        <v>116</v>
      </c>
      <c r="L172" t="s">
        <v>60</v>
      </c>
      <c r="M172" t="s">
        <v>21</v>
      </c>
    </row>
    <row r="173" spans="1:13" x14ac:dyDescent="0.35">
      <c r="A173">
        <v>20171</v>
      </c>
      <c r="B173" t="s">
        <v>221</v>
      </c>
      <c r="C173" t="s">
        <v>88</v>
      </c>
      <c r="D173" t="s">
        <v>89</v>
      </c>
      <c r="E173" t="s">
        <v>56</v>
      </c>
      <c r="F173" t="s">
        <v>17</v>
      </c>
      <c r="G173" t="s">
        <v>76</v>
      </c>
      <c r="H173">
        <v>18</v>
      </c>
      <c r="I173" t="s">
        <v>554</v>
      </c>
      <c r="J173" t="s">
        <v>555</v>
      </c>
      <c r="L173" t="s">
        <v>30</v>
      </c>
      <c r="M173" t="s">
        <v>21</v>
      </c>
    </row>
    <row r="174" spans="1:13" x14ac:dyDescent="0.35">
      <c r="A174">
        <v>20172</v>
      </c>
      <c r="B174" t="s">
        <v>556</v>
      </c>
      <c r="C174" t="s">
        <v>88</v>
      </c>
      <c r="D174" t="s">
        <v>113</v>
      </c>
      <c r="E174" t="s">
        <v>142</v>
      </c>
      <c r="F174" t="s">
        <v>17</v>
      </c>
      <c r="G174" t="s">
        <v>76</v>
      </c>
      <c r="H174">
        <v>20</v>
      </c>
      <c r="I174" t="s">
        <v>557</v>
      </c>
      <c r="J174" t="s">
        <v>558</v>
      </c>
      <c r="K174" t="s">
        <v>241</v>
      </c>
      <c r="L174" t="s">
        <v>30</v>
      </c>
      <c r="M174" t="s">
        <v>21</v>
      </c>
    </row>
    <row r="175" spans="1:13" x14ac:dyDescent="0.35">
      <c r="A175">
        <v>20173</v>
      </c>
      <c r="B175" t="s">
        <v>559</v>
      </c>
      <c r="C175" t="s">
        <v>243</v>
      </c>
      <c r="D175" t="s">
        <v>113</v>
      </c>
      <c r="E175" t="s">
        <v>25</v>
      </c>
      <c r="F175" t="s">
        <v>26</v>
      </c>
      <c r="G175" t="s">
        <v>76</v>
      </c>
      <c r="H175">
        <v>4</v>
      </c>
      <c r="I175" t="s">
        <v>560</v>
      </c>
      <c r="J175" t="s">
        <v>561</v>
      </c>
      <c r="K175" t="s">
        <v>72</v>
      </c>
      <c r="L175" t="s">
        <v>30</v>
      </c>
      <c r="M175" t="s">
        <v>21</v>
      </c>
    </row>
    <row r="176" spans="1:13" x14ac:dyDescent="0.35">
      <c r="A176">
        <v>20174</v>
      </c>
      <c r="B176" t="s">
        <v>562</v>
      </c>
      <c r="C176" t="s">
        <v>246</v>
      </c>
      <c r="D176" t="s">
        <v>314</v>
      </c>
      <c r="E176" t="s">
        <v>25</v>
      </c>
      <c r="F176" t="s">
        <v>26</v>
      </c>
      <c r="G176" t="s">
        <v>43</v>
      </c>
      <c r="H176">
        <v>14</v>
      </c>
      <c r="I176" t="s">
        <v>563</v>
      </c>
      <c r="J176" t="s">
        <v>564</v>
      </c>
      <c r="L176" t="s">
        <v>30</v>
      </c>
      <c r="M176" t="s">
        <v>21</v>
      </c>
    </row>
    <row r="177" spans="1:13" x14ac:dyDescent="0.35">
      <c r="A177">
        <v>20175</v>
      </c>
      <c r="B177" t="s">
        <v>133</v>
      </c>
      <c r="C177" t="s">
        <v>246</v>
      </c>
      <c r="D177" t="s">
        <v>314</v>
      </c>
      <c r="E177" t="s">
        <v>34</v>
      </c>
      <c r="F177" t="s">
        <v>26</v>
      </c>
      <c r="G177" t="s">
        <v>35</v>
      </c>
      <c r="H177">
        <v>14</v>
      </c>
      <c r="I177" t="s">
        <v>565</v>
      </c>
      <c r="J177" t="s">
        <v>566</v>
      </c>
      <c r="K177" t="s">
        <v>72</v>
      </c>
      <c r="L177" t="s">
        <v>30</v>
      </c>
      <c r="M177" t="s">
        <v>21</v>
      </c>
    </row>
    <row r="178" spans="1:13" x14ac:dyDescent="0.35">
      <c r="A178">
        <v>20176</v>
      </c>
      <c r="B178" t="s">
        <v>567</v>
      </c>
      <c r="C178" t="s">
        <v>74</v>
      </c>
      <c r="D178" t="s">
        <v>177</v>
      </c>
      <c r="E178" t="s">
        <v>107</v>
      </c>
      <c r="F178" t="s">
        <v>126</v>
      </c>
      <c r="G178" t="s">
        <v>18</v>
      </c>
      <c r="H178">
        <v>10</v>
      </c>
      <c r="I178" t="s">
        <v>568</v>
      </c>
      <c r="J178" t="s">
        <v>569</v>
      </c>
      <c r="K178" t="s">
        <v>570</v>
      </c>
      <c r="L178" t="s">
        <v>30</v>
      </c>
      <c r="M178" t="s">
        <v>21</v>
      </c>
    </row>
    <row r="179" spans="1:13" x14ac:dyDescent="0.35">
      <c r="A179">
        <v>20177</v>
      </c>
      <c r="B179" t="s">
        <v>354</v>
      </c>
      <c r="C179" t="s">
        <v>14</v>
      </c>
      <c r="D179" t="s">
        <v>24</v>
      </c>
      <c r="E179" t="s">
        <v>50</v>
      </c>
      <c r="F179" t="s">
        <v>17</v>
      </c>
      <c r="G179" t="s">
        <v>43</v>
      </c>
      <c r="H179">
        <v>7</v>
      </c>
      <c r="I179" t="s">
        <v>571</v>
      </c>
      <c r="J179" t="s">
        <v>572</v>
      </c>
      <c r="L179" t="s">
        <v>30</v>
      </c>
      <c r="M179" t="s">
        <v>21</v>
      </c>
    </row>
    <row r="180" spans="1:13" x14ac:dyDescent="0.35">
      <c r="A180">
        <v>20178</v>
      </c>
      <c r="B180" t="s">
        <v>363</v>
      </c>
      <c r="C180" t="s">
        <v>125</v>
      </c>
      <c r="D180" t="s">
        <v>55</v>
      </c>
      <c r="E180" t="s">
        <v>34</v>
      </c>
      <c r="F180" t="s">
        <v>26</v>
      </c>
      <c r="G180" t="s">
        <v>27</v>
      </c>
      <c r="H180">
        <v>10</v>
      </c>
      <c r="I180" t="s">
        <v>573</v>
      </c>
      <c r="J180" t="s">
        <v>574</v>
      </c>
      <c r="K180" t="s">
        <v>72</v>
      </c>
      <c r="L180" t="s">
        <v>30</v>
      </c>
      <c r="M180" t="s">
        <v>21</v>
      </c>
    </row>
    <row r="181" spans="1:13" x14ac:dyDescent="0.35">
      <c r="A181">
        <v>20179</v>
      </c>
      <c r="B181" t="s">
        <v>514</v>
      </c>
      <c r="C181" t="s">
        <v>67</v>
      </c>
      <c r="D181" t="s">
        <v>33</v>
      </c>
      <c r="E181" t="s">
        <v>42</v>
      </c>
      <c r="F181" t="s">
        <v>17</v>
      </c>
      <c r="G181" t="s">
        <v>27</v>
      </c>
      <c r="H181">
        <v>7</v>
      </c>
      <c r="I181" t="s">
        <v>575</v>
      </c>
      <c r="J181" t="s">
        <v>576</v>
      </c>
      <c r="K181" t="s">
        <v>65</v>
      </c>
      <c r="L181" t="s">
        <v>30</v>
      </c>
      <c r="M181" t="s">
        <v>21</v>
      </c>
    </row>
    <row r="182" spans="1:13" x14ac:dyDescent="0.35">
      <c r="A182">
        <v>20180</v>
      </c>
      <c r="B182" t="s">
        <v>577</v>
      </c>
      <c r="C182" t="s">
        <v>106</v>
      </c>
      <c r="D182" t="s">
        <v>49</v>
      </c>
      <c r="E182" t="s">
        <v>56</v>
      </c>
      <c r="F182" t="s">
        <v>17</v>
      </c>
      <c r="G182" t="s">
        <v>43</v>
      </c>
      <c r="H182">
        <v>12</v>
      </c>
      <c r="I182" t="s">
        <v>578</v>
      </c>
      <c r="J182" t="s">
        <v>579</v>
      </c>
      <c r="L182" t="s">
        <v>60</v>
      </c>
      <c r="M182" t="s">
        <v>21</v>
      </c>
    </row>
    <row r="183" spans="1:13" x14ac:dyDescent="0.35">
      <c r="A183">
        <v>20181</v>
      </c>
      <c r="B183" t="s">
        <v>199</v>
      </c>
      <c r="C183" t="s">
        <v>106</v>
      </c>
      <c r="D183" t="s">
        <v>314</v>
      </c>
      <c r="E183" t="s">
        <v>107</v>
      </c>
      <c r="F183" t="s">
        <v>26</v>
      </c>
      <c r="G183" t="s">
        <v>76</v>
      </c>
      <c r="H183">
        <v>4</v>
      </c>
      <c r="I183" t="s">
        <v>580</v>
      </c>
      <c r="J183" t="s">
        <v>581</v>
      </c>
      <c r="L183" t="s">
        <v>60</v>
      </c>
      <c r="M183" t="s">
        <v>151</v>
      </c>
    </row>
    <row r="184" spans="1:13" x14ac:dyDescent="0.35">
      <c r="A184">
        <v>20182</v>
      </c>
      <c r="B184" t="s">
        <v>483</v>
      </c>
      <c r="C184" t="s">
        <v>100</v>
      </c>
      <c r="D184" t="s">
        <v>141</v>
      </c>
      <c r="E184" t="s">
        <v>16</v>
      </c>
      <c r="F184" t="s">
        <v>17</v>
      </c>
      <c r="G184" t="s">
        <v>35</v>
      </c>
      <c r="H184">
        <v>19</v>
      </c>
      <c r="I184" t="s">
        <v>90</v>
      </c>
      <c r="J184" t="s">
        <v>582</v>
      </c>
      <c r="L184" t="s">
        <v>60</v>
      </c>
      <c r="M184" t="s">
        <v>21</v>
      </c>
    </row>
    <row r="185" spans="1:13" x14ac:dyDescent="0.35">
      <c r="A185">
        <v>20183</v>
      </c>
      <c r="B185" t="s">
        <v>583</v>
      </c>
      <c r="C185" t="s">
        <v>140</v>
      </c>
      <c r="D185" t="s">
        <v>141</v>
      </c>
      <c r="E185" t="s">
        <v>142</v>
      </c>
      <c r="F185" t="s">
        <v>17</v>
      </c>
      <c r="G185" t="s">
        <v>18</v>
      </c>
      <c r="H185">
        <v>20</v>
      </c>
      <c r="I185" t="s">
        <v>584</v>
      </c>
      <c r="J185" t="s">
        <v>585</v>
      </c>
      <c r="K185" t="s">
        <v>116</v>
      </c>
      <c r="L185" t="s">
        <v>30</v>
      </c>
      <c r="M185" t="s">
        <v>21</v>
      </c>
    </row>
    <row r="186" spans="1:13" x14ac:dyDescent="0.35">
      <c r="A186">
        <v>20184</v>
      </c>
      <c r="B186" t="s">
        <v>586</v>
      </c>
      <c r="C186" t="s">
        <v>243</v>
      </c>
      <c r="D186" t="s">
        <v>113</v>
      </c>
      <c r="E186" t="s">
        <v>50</v>
      </c>
      <c r="F186" t="s">
        <v>17</v>
      </c>
      <c r="G186" t="s">
        <v>18</v>
      </c>
      <c r="H186">
        <v>7</v>
      </c>
      <c r="I186" t="s">
        <v>587</v>
      </c>
      <c r="J186" t="s">
        <v>588</v>
      </c>
      <c r="K186" t="s">
        <v>104</v>
      </c>
      <c r="L186" t="s">
        <v>60</v>
      </c>
      <c r="M186" t="s">
        <v>21</v>
      </c>
    </row>
    <row r="187" spans="1:13" x14ac:dyDescent="0.35">
      <c r="A187">
        <v>20185</v>
      </c>
      <c r="B187" t="s">
        <v>589</v>
      </c>
      <c r="C187" t="s">
        <v>23</v>
      </c>
      <c r="D187" t="s">
        <v>177</v>
      </c>
      <c r="E187" t="s">
        <v>42</v>
      </c>
      <c r="F187" t="s">
        <v>17</v>
      </c>
      <c r="G187" t="s">
        <v>35</v>
      </c>
      <c r="H187">
        <v>15</v>
      </c>
      <c r="I187" t="s">
        <v>590</v>
      </c>
      <c r="J187" t="s">
        <v>591</v>
      </c>
      <c r="L187" t="s">
        <v>60</v>
      </c>
      <c r="M187" t="s">
        <v>151</v>
      </c>
    </row>
    <row r="188" spans="1:13" x14ac:dyDescent="0.35">
      <c r="A188">
        <v>20186</v>
      </c>
      <c r="B188" t="s">
        <v>483</v>
      </c>
      <c r="C188" t="s">
        <v>74</v>
      </c>
      <c r="D188" t="s">
        <v>75</v>
      </c>
      <c r="E188" t="s">
        <v>101</v>
      </c>
      <c r="F188" t="s">
        <v>17</v>
      </c>
      <c r="G188" t="s">
        <v>43</v>
      </c>
      <c r="H188">
        <v>21</v>
      </c>
      <c r="I188" t="s">
        <v>592</v>
      </c>
      <c r="J188" t="s">
        <v>591</v>
      </c>
      <c r="L188" t="s">
        <v>60</v>
      </c>
      <c r="M188" t="s">
        <v>21</v>
      </c>
    </row>
    <row r="189" spans="1:13" x14ac:dyDescent="0.35">
      <c r="A189">
        <v>20187</v>
      </c>
      <c r="B189" t="s">
        <v>593</v>
      </c>
      <c r="C189" t="s">
        <v>118</v>
      </c>
      <c r="D189" t="s">
        <v>177</v>
      </c>
      <c r="E189" t="s">
        <v>166</v>
      </c>
      <c r="F189" t="s">
        <v>17</v>
      </c>
      <c r="G189" t="s">
        <v>76</v>
      </c>
      <c r="H189">
        <v>17</v>
      </c>
      <c r="I189" t="s">
        <v>594</v>
      </c>
      <c r="J189" t="s">
        <v>595</v>
      </c>
      <c r="K189" t="s">
        <v>72</v>
      </c>
      <c r="L189" t="s">
        <v>30</v>
      </c>
      <c r="M189" t="s">
        <v>21</v>
      </c>
    </row>
    <row r="190" spans="1:13" x14ac:dyDescent="0.35">
      <c r="A190">
        <v>20188</v>
      </c>
      <c r="B190" t="s">
        <v>489</v>
      </c>
      <c r="C190" t="s">
        <v>23</v>
      </c>
      <c r="D190" t="s">
        <v>75</v>
      </c>
      <c r="E190" t="s">
        <v>50</v>
      </c>
      <c r="F190" t="s">
        <v>17</v>
      </c>
      <c r="G190" t="s">
        <v>27</v>
      </c>
      <c r="H190">
        <v>3</v>
      </c>
      <c r="I190" t="s">
        <v>596</v>
      </c>
      <c r="J190" t="s">
        <v>597</v>
      </c>
      <c r="K190" t="s">
        <v>104</v>
      </c>
      <c r="L190" t="s">
        <v>30</v>
      </c>
      <c r="M190" t="s">
        <v>21</v>
      </c>
    </row>
    <row r="191" spans="1:13" x14ac:dyDescent="0.35">
      <c r="A191">
        <v>20189</v>
      </c>
      <c r="B191" t="s">
        <v>598</v>
      </c>
      <c r="C191" t="s">
        <v>118</v>
      </c>
      <c r="D191" t="s">
        <v>15</v>
      </c>
      <c r="E191" t="s">
        <v>56</v>
      </c>
      <c r="F191" t="s">
        <v>17</v>
      </c>
      <c r="G191" t="s">
        <v>27</v>
      </c>
      <c r="H191">
        <v>15</v>
      </c>
      <c r="I191" t="s">
        <v>599</v>
      </c>
      <c r="J191" t="s">
        <v>600</v>
      </c>
      <c r="K191" t="s">
        <v>72</v>
      </c>
      <c r="L191" t="s">
        <v>30</v>
      </c>
      <c r="M191" t="s">
        <v>21</v>
      </c>
    </row>
    <row r="192" spans="1:13" x14ac:dyDescent="0.35">
      <c r="A192">
        <v>20190</v>
      </c>
      <c r="B192" t="s">
        <v>601</v>
      </c>
      <c r="C192" t="s">
        <v>80</v>
      </c>
      <c r="D192" t="s">
        <v>24</v>
      </c>
      <c r="E192" t="s">
        <v>25</v>
      </c>
      <c r="F192" t="s">
        <v>26</v>
      </c>
      <c r="G192" t="s">
        <v>76</v>
      </c>
      <c r="H192">
        <v>14</v>
      </c>
      <c r="I192" t="s">
        <v>602</v>
      </c>
      <c r="J192" t="s">
        <v>603</v>
      </c>
      <c r="L192" t="s">
        <v>30</v>
      </c>
      <c r="M192" t="s">
        <v>21</v>
      </c>
    </row>
    <row r="193" spans="1:13" x14ac:dyDescent="0.35">
      <c r="A193">
        <v>20191</v>
      </c>
      <c r="B193" t="s">
        <v>180</v>
      </c>
      <c r="C193" t="s">
        <v>14</v>
      </c>
      <c r="D193" t="s">
        <v>24</v>
      </c>
      <c r="E193" t="s">
        <v>85</v>
      </c>
      <c r="F193" t="s">
        <v>17</v>
      </c>
      <c r="G193" t="s">
        <v>18</v>
      </c>
      <c r="H193">
        <v>7</v>
      </c>
      <c r="I193" t="s">
        <v>604</v>
      </c>
      <c r="J193" t="s">
        <v>605</v>
      </c>
      <c r="L193" t="s">
        <v>30</v>
      </c>
      <c r="M193" t="s">
        <v>21</v>
      </c>
    </row>
    <row r="194" spans="1:13" x14ac:dyDescent="0.35">
      <c r="A194">
        <v>20192</v>
      </c>
      <c r="B194" t="s">
        <v>606</v>
      </c>
      <c r="C194" t="s">
        <v>106</v>
      </c>
      <c r="D194" t="s">
        <v>49</v>
      </c>
      <c r="E194" t="s">
        <v>16</v>
      </c>
      <c r="F194" t="s">
        <v>395</v>
      </c>
      <c r="G194" t="s">
        <v>18</v>
      </c>
      <c r="H194">
        <v>4</v>
      </c>
      <c r="I194" t="s">
        <v>607</v>
      </c>
      <c r="J194" t="s">
        <v>608</v>
      </c>
      <c r="K194" t="s">
        <v>116</v>
      </c>
      <c r="L194" t="s">
        <v>30</v>
      </c>
      <c r="M194" t="s">
        <v>21</v>
      </c>
    </row>
    <row r="195" spans="1:13" x14ac:dyDescent="0.35">
      <c r="A195">
        <v>20193</v>
      </c>
      <c r="B195" t="s">
        <v>609</v>
      </c>
      <c r="C195" t="s">
        <v>118</v>
      </c>
      <c r="D195" t="s">
        <v>15</v>
      </c>
      <c r="E195" t="s">
        <v>25</v>
      </c>
      <c r="F195" t="s">
        <v>26</v>
      </c>
      <c r="G195" t="s">
        <v>35</v>
      </c>
      <c r="H195">
        <v>-16</v>
      </c>
      <c r="I195" t="s">
        <v>610</v>
      </c>
      <c r="J195" t="s">
        <v>611</v>
      </c>
      <c r="L195" t="s">
        <v>30</v>
      </c>
      <c r="M195" t="s">
        <v>21</v>
      </c>
    </row>
    <row r="196" spans="1:13" x14ac:dyDescent="0.35">
      <c r="A196">
        <v>20194</v>
      </c>
      <c r="B196" t="s">
        <v>612</v>
      </c>
      <c r="C196" t="s">
        <v>54</v>
      </c>
      <c r="D196" t="s">
        <v>55</v>
      </c>
      <c r="E196" t="s">
        <v>42</v>
      </c>
      <c r="F196" t="s">
        <v>17</v>
      </c>
      <c r="G196" t="s">
        <v>18</v>
      </c>
      <c r="H196">
        <v>13</v>
      </c>
      <c r="I196" t="s">
        <v>613</v>
      </c>
      <c r="J196" t="s">
        <v>614</v>
      </c>
      <c r="L196" t="s">
        <v>30</v>
      </c>
      <c r="M196" t="s">
        <v>21</v>
      </c>
    </row>
    <row r="197" spans="1:13" x14ac:dyDescent="0.35">
      <c r="A197">
        <v>20195</v>
      </c>
      <c r="B197" t="s">
        <v>615</v>
      </c>
      <c r="C197" t="s">
        <v>100</v>
      </c>
      <c r="D197" t="s">
        <v>141</v>
      </c>
      <c r="E197" t="s">
        <v>50</v>
      </c>
      <c r="F197" t="s">
        <v>187</v>
      </c>
      <c r="G197" t="s">
        <v>27</v>
      </c>
      <c r="H197">
        <v>16</v>
      </c>
      <c r="I197" t="s">
        <v>616</v>
      </c>
      <c r="J197" t="s">
        <v>617</v>
      </c>
      <c r="K197" t="s">
        <v>116</v>
      </c>
      <c r="L197" t="s">
        <v>30</v>
      </c>
      <c r="M197" t="s">
        <v>21</v>
      </c>
    </row>
    <row r="198" spans="1:13" x14ac:dyDescent="0.35">
      <c r="A198">
        <v>20196</v>
      </c>
      <c r="B198" t="s">
        <v>618</v>
      </c>
      <c r="C198" t="s">
        <v>74</v>
      </c>
      <c r="D198" t="s">
        <v>75</v>
      </c>
      <c r="E198" t="s">
        <v>50</v>
      </c>
      <c r="F198" t="s">
        <v>17</v>
      </c>
      <c r="G198" t="s">
        <v>18</v>
      </c>
      <c r="H198">
        <v>12</v>
      </c>
      <c r="I198" t="s">
        <v>619</v>
      </c>
      <c r="J198" t="s">
        <v>620</v>
      </c>
      <c r="L198" t="s">
        <v>132</v>
      </c>
      <c r="M198" t="s">
        <v>21</v>
      </c>
    </row>
    <row r="199" spans="1:13" x14ac:dyDescent="0.35">
      <c r="A199">
        <v>20197</v>
      </c>
      <c r="B199" t="s">
        <v>621</v>
      </c>
      <c r="C199" t="s">
        <v>264</v>
      </c>
      <c r="D199" t="s">
        <v>121</v>
      </c>
      <c r="E199" t="s">
        <v>42</v>
      </c>
      <c r="F199" t="s">
        <v>17</v>
      </c>
      <c r="G199" t="s">
        <v>27</v>
      </c>
      <c r="H199">
        <v>11</v>
      </c>
      <c r="I199" t="s">
        <v>622</v>
      </c>
      <c r="J199" t="s">
        <v>623</v>
      </c>
      <c r="K199" t="s">
        <v>340</v>
      </c>
      <c r="L199" t="s">
        <v>30</v>
      </c>
      <c r="M199" t="s">
        <v>21</v>
      </c>
    </row>
    <row r="200" spans="1:13" x14ac:dyDescent="0.35">
      <c r="A200">
        <v>20198</v>
      </c>
      <c r="B200" t="s">
        <v>624</v>
      </c>
      <c r="C200" t="s">
        <v>246</v>
      </c>
      <c r="D200" t="s">
        <v>314</v>
      </c>
      <c r="E200" t="s">
        <v>69</v>
      </c>
      <c r="F200" t="s">
        <v>26</v>
      </c>
      <c r="G200" t="s">
        <v>35</v>
      </c>
      <c r="H200">
        <v>15</v>
      </c>
      <c r="I200" t="s">
        <v>625</v>
      </c>
      <c r="J200" t="s">
        <v>626</v>
      </c>
      <c r="K200" t="s">
        <v>116</v>
      </c>
      <c r="L200" t="s">
        <v>30</v>
      </c>
      <c r="M200" t="s">
        <v>21</v>
      </c>
    </row>
    <row r="201" spans="1:13" x14ac:dyDescent="0.35">
      <c r="A201">
        <v>20199</v>
      </c>
      <c r="B201" t="s">
        <v>627</v>
      </c>
      <c r="C201" t="s">
        <v>96</v>
      </c>
      <c r="D201" t="s">
        <v>49</v>
      </c>
      <c r="E201" t="s">
        <v>85</v>
      </c>
      <c r="F201" t="s">
        <v>17</v>
      </c>
      <c r="G201" t="s">
        <v>57</v>
      </c>
      <c r="H201">
        <v>18</v>
      </c>
      <c r="I201" t="s">
        <v>628</v>
      </c>
      <c r="J201" t="s">
        <v>629</v>
      </c>
      <c r="L201" t="s">
        <v>30</v>
      </c>
      <c r="M201" t="s">
        <v>21</v>
      </c>
    </row>
    <row r="202" spans="1:13" x14ac:dyDescent="0.35">
      <c r="A202">
        <v>20200</v>
      </c>
      <c r="B202" t="s">
        <v>630</v>
      </c>
      <c r="C202" t="s">
        <v>96</v>
      </c>
      <c r="D202" t="s">
        <v>49</v>
      </c>
      <c r="E202" t="s">
        <v>25</v>
      </c>
      <c r="F202" t="s">
        <v>26</v>
      </c>
      <c r="G202" t="s">
        <v>57</v>
      </c>
      <c r="H202">
        <v>15</v>
      </c>
      <c r="I202" t="s">
        <v>631</v>
      </c>
      <c r="J202" t="s">
        <v>632</v>
      </c>
      <c r="K202" t="s">
        <v>104</v>
      </c>
      <c r="L202" t="s">
        <v>132</v>
      </c>
      <c r="M202" t="s">
        <v>151</v>
      </c>
    </row>
    <row r="203" spans="1:13" x14ac:dyDescent="0.35">
      <c r="A203">
        <v>20201</v>
      </c>
      <c r="B203" t="s">
        <v>633</v>
      </c>
      <c r="C203" t="s">
        <v>264</v>
      </c>
      <c r="D203" t="s">
        <v>41</v>
      </c>
      <c r="E203" t="s">
        <v>101</v>
      </c>
      <c r="F203" t="s">
        <v>17</v>
      </c>
      <c r="G203" t="s">
        <v>35</v>
      </c>
      <c r="H203">
        <v>14</v>
      </c>
      <c r="I203" t="s">
        <v>634</v>
      </c>
      <c r="J203" t="s">
        <v>635</v>
      </c>
      <c r="L203" t="s">
        <v>38</v>
      </c>
      <c r="M203" t="s">
        <v>21</v>
      </c>
    </row>
    <row r="204" spans="1:13" x14ac:dyDescent="0.35">
      <c r="A204">
        <v>20202</v>
      </c>
      <c r="B204" t="s">
        <v>636</v>
      </c>
      <c r="C204" t="s">
        <v>32</v>
      </c>
      <c r="D204" t="s">
        <v>33</v>
      </c>
      <c r="E204" t="s">
        <v>107</v>
      </c>
      <c r="F204" t="s">
        <v>26</v>
      </c>
      <c r="G204" t="s">
        <v>18</v>
      </c>
      <c r="H204">
        <v>7</v>
      </c>
      <c r="I204" t="s">
        <v>637</v>
      </c>
      <c r="L204" t="s">
        <v>30</v>
      </c>
      <c r="M204" t="s">
        <v>21</v>
      </c>
    </row>
    <row r="205" spans="1:13" x14ac:dyDescent="0.35">
      <c r="A205">
        <v>20203</v>
      </c>
      <c r="B205" t="s">
        <v>405</v>
      </c>
      <c r="C205" t="s">
        <v>62</v>
      </c>
      <c r="D205" t="s">
        <v>55</v>
      </c>
      <c r="E205" t="s">
        <v>69</v>
      </c>
      <c r="F205" t="s">
        <v>26</v>
      </c>
      <c r="G205" t="s">
        <v>35</v>
      </c>
      <c r="H205">
        <v>15</v>
      </c>
      <c r="I205" t="s">
        <v>638</v>
      </c>
      <c r="J205" t="s">
        <v>639</v>
      </c>
      <c r="K205" t="s">
        <v>72</v>
      </c>
      <c r="L205" t="s">
        <v>60</v>
      </c>
      <c r="M205" t="s">
        <v>21</v>
      </c>
    </row>
    <row r="206" spans="1:13" x14ac:dyDescent="0.35">
      <c r="A206">
        <v>20204</v>
      </c>
      <c r="B206" t="s">
        <v>303</v>
      </c>
      <c r="C206" t="s">
        <v>246</v>
      </c>
      <c r="D206" t="s">
        <v>314</v>
      </c>
      <c r="E206" t="s">
        <v>85</v>
      </c>
      <c r="F206" t="s">
        <v>17</v>
      </c>
      <c r="G206" t="s">
        <v>35</v>
      </c>
      <c r="H206">
        <v>16</v>
      </c>
      <c r="I206" t="s">
        <v>640</v>
      </c>
      <c r="L206" t="s">
        <v>30</v>
      </c>
      <c r="M206" t="s">
        <v>21</v>
      </c>
    </row>
    <row r="207" spans="1:13" x14ac:dyDescent="0.35">
      <c r="A207">
        <v>20205</v>
      </c>
      <c r="B207" t="s">
        <v>473</v>
      </c>
      <c r="C207" t="s">
        <v>80</v>
      </c>
      <c r="D207" t="s">
        <v>24</v>
      </c>
      <c r="E207" t="s">
        <v>142</v>
      </c>
      <c r="F207" t="s">
        <v>17</v>
      </c>
      <c r="G207" t="s">
        <v>35</v>
      </c>
      <c r="H207">
        <v>16</v>
      </c>
      <c r="I207" t="s">
        <v>641</v>
      </c>
      <c r="J207" t="s">
        <v>642</v>
      </c>
      <c r="K207" t="s">
        <v>72</v>
      </c>
      <c r="L207" t="s">
        <v>30</v>
      </c>
      <c r="M207" t="s">
        <v>21</v>
      </c>
    </row>
    <row r="208" spans="1:13" x14ac:dyDescent="0.35">
      <c r="A208">
        <v>20206</v>
      </c>
      <c r="B208" t="s">
        <v>643</v>
      </c>
      <c r="C208" t="s">
        <v>118</v>
      </c>
      <c r="D208" t="s">
        <v>177</v>
      </c>
      <c r="E208" t="s">
        <v>42</v>
      </c>
      <c r="F208" t="s">
        <v>17</v>
      </c>
      <c r="G208" t="s">
        <v>76</v>
      </c>
      <c r="H208">
        <v>11</v>
      </c>
      <c r="I208" t="s">
        <v>644</v>
      </c>
      <c r="J208" t="s">
        <v>645</v>
      </c>
      <c r="L208" t="s">
        <v>30</v>
      </c>
      <c r="M208" t="s">
        <v>21</v>
      </c>
    </row>
    <row r="209" spans="1:13" x14ac:dyDescent="0.35">
      <c r="A209">
        <v>20207</v>
      </c>
      <c r="B209" t="s">
        <v>646</v>
      </c>
      <c r="C209" t="s">
        <v>32</v>
      </c>
      <c r="D209" t="s">
        <v>68</v>
      </c>
      <c r="E209" t="s">
        <v>142</v>
      </c>
      <c r="F209" t="s">
        <v>17</v>
      </c>
      <c r="G209" t="s">
        <v>27</v>
      </c>
      <c r="H209">
        <v>25</v>
      </c>
      <c r="I209" t="s">
        <v>647</v>
      </c>
      <c r="J209" t="s">
        <v>648</v>
      </c>
      <c r="K209" t="s">
        <v>116</v>
      </c>
      <c r="L209" t="s">
        <v>60</v>
      </c>
      <c r="M209" t="s">
        <v>21</v>
      </c>
    </row>
    <row r="210" spans="1:13" x14ac:dyDescent="0.35">
      <c r="A210">
        <v>20208</v>
      </c>
      <c r="B210" t="s">
        <v>649</v>
      </c>
      <c r="C210" t="s">
        <v>140</v>
      </c>
      <c r="D210" t="s">
        <v>33</v>
      </c>
      <c r="E210" t="s">
        <v>34</v>
      </c>
      <c r="F210" t="s">
        <v>26</v>
      </c>
      <c r="G210" t="s">
        <v>18</v>
      </c>
      <c r="H210">
        <v>11</v>
      </c>
      <c r="J210" t="s">
        <v>650</v>
      </c>
      <c r="K210" t="s">
        <v>65</v>
      </c>
      <c r="L210" t="s">
        <v>30</v>
      </c>
      <c r="M210" t="s">
        <v>21</v>
      </c>
    </row>
    <row r="211" spans="1:13" x14ac:dyDescent="0.35">
      <c r="A211">
        <v>20209</v>
      </c>
      <c r="B211" t="s">
        <v>651</v>
      </c>
      <c r="C211" t="s">
        <v>652</v>
      </c>
      <c r="D211" t="s">
        <v>121</v>
      </c>
      <c r="E211" t="s">
        <v>101</v>
      </c>
      <c r="F211" t="s">
        <v>17</v>
      </c>
      <c r="G211" t="s">
        <v>76</v>
      </c>
      <c r="H211">
        <v>19</v>
      </c>
      <c r="I211" t="s">
        <v>653</v>
      </c>
      <c r="J211" t="s">
        <v>654</v>
      </c>
      <c r="L211" t="s">
        <v>30</v>
      </c>
      <c r="M211" t="s">
        <v>21</v>
      </c>
    </row>
    <row r="212" spans="1:13" x14ac:dyDescent="0.35">
      <c r="A212">
        <v>20210</v>
      </c>
      <c r="B212" t="s">
        <v>381</v>
      </c>
      <c r="C212" t="s">
        <v>100</v>
      </c>
      <c r="D212" t="s">
        <v>68</v>
      </c>
      <c r="E212" t="s">
        <v>166</v>
      </c>
      <c r="F212" t="s">
        <v>17</v>
      </c>
      <c r="G212" t="s">
        <v>43</v>
      </c>
      <c r="H212">
        <v>-7</v>
      </c>
      <c r="I212" t="s">
        <v>655</v>
      </c>
      <c r="J212" t="s">
        <v>656</v>
      </c>
      <c r="K212" t="s">
        <v>72</v>
      </c>
      <c r="M212" t="s">
        <v>21</v>
      </c>
    </row>
    <row r="213" spans="1:13" x14ac:dyDescent="0.35">
      <c r="A213">
        <v>20211</v>
      </c>
      <c r="B213" t="s">
        <v>377</v>
      </c>
      <c r="C213" t="s">
        <v>14</v>
      </c>
      <c r="D213" t="s">
        <v>177</v>
      </c>
      <c r="E213" t="s">
        <v>101</v>
      </c>
      <c r="F213" t="s">
        <v>395</v>
      </c>
      <c r="G213" t="s">
        <v>43</v>
      </c>
      <c r="H213">
        <v>16</v>
      </c>
      <c r="I213" t="s">
        <v>657</v>
      </c>
      <c r="J213" t="s">
        <v>658</v>
      </c>
      <c r="K213" t="s">
        <v>72</v>
      </c>
      <c r="L213" t="s">
        <v>30</v>
      </c>
      <c r="M213" t="s">
        <v>21</v>
      </c>
    </row>
    <row r="214" spans="1:13" x14ac:dyDescent="0.35">
      <c r="A214">
        <v>20212</v>
      </c>
      <c r="B214" t="s">
        <v>659</v>
      </c>
      <c r="C214" t="s">
        <v>48</v>
      </c>
      <c r="D214" t="s">
        <v>314</v>
      </c>
      <c r="E214" t="s">
        <v>42</v>
      </c>
      <c r="F214" t="s">
        <v>17</v>
      </c>
      <c r="G214" t="s">
        <v>57</v>
      </c>
      <c r="H214">
        <v>15</v>
      </c>
      <c r="I214" t="s">
        <v>660</v>
      </c>
      <c r="J214" t="s">
        <v>661</v>
      </c>
      <c r="L214" t="s">
        <v>60</v>
      </c>
      <c r="M214" t="s">
        <v>21</v>
      </c>
    </row>
    <row r="215" spans="1:13" x14ac:dyDescent="0.35">
      <c r="A215">
        <v>20213</v>
      </c>
      <c r="B215" t="s">
        <v>492</v>
      </c>
      <c r="C215" t="s">
        <v>14</v>
      </c>
      <c r="D215" t="s">
        <v>75</v>
      </c>
      <c r="E215" t="s">
        <v>25</v>
      </c>
      <c r="F215" t="s">
        <v>26</v>
      </c>
      <c r="G215" t="s">
        <v>57</v>
      </c>
      <c r="H215">
        <v>23</v>
      </c>
      <c r="I215" t="s">
        <v>662</v>
      </c>
      <c r="K215" t="s">
        <v>72</v>
      </c>
      <c r="L215" t="s">
        <v>60</v>
      </c>
      <c r="M215" t="s">
        <v>151</v>
      </c>
    </row>
    <row r="216" spans="1:13" x14ac:dyDescent="0.35">
      <c r="A216">
        <v>20214</v>
      </c>
      <c r="B216" t="s">
        <v>663</v>
      </c>
      <c r="C216" t="s">
        <v>80</v>
      </c>
      <c r="D216" t="s">
        <v>15</v>
      </c>
      <c r="E216" t="s">
        <v>101</v>
      </c>
      <c r="F216" t="s">
        <v>17</v>
      </c>
      <c r="G216" t="s">
        <v>18</v>
      </c>
      <c r="H216">
        <v>4</v>
      </c>
      <c r="I216" t="s">
        <v>664</v>
      </c>
      <c r="J216" t="s">
        <v>665</v>
      </c>
      <c r="L216" t="s">
        <v>30</v>
      </c>
      <c r="M216" t="s">
        <v>21</v>
      </c>
    </row>
    <row r="217" spans="1:13" x14ac:dyDescent="0.35">
      <c r="A217">
        <v>20215</v>
      </c>
      <c r="B217" t="s">
        <v>61</v>
      </c>
      <c r="C217" t="s">
        <v>32</v>
      </c>
      <c r="D217" t="s">
        <v>33</v>
      </c>
      <c r="E217" t="s">
        <v>42</v>
      </c>
      <c r="F217" t="s">
        <v>17</v>
      </c>
      <c r="G217" t="s">
        <v>57</v>
      </c>
      <c r="H217">
        <v>23</v>
      </c>
      <c r="J217" t="s">
        <v>666</v>
      </c>
      <c r="L217" t="s">
        <v>60</v>
      </c>
      <c r="M217" t="s">
        <v>151</v>
      </c>
    </row>
    <row r="218" spans="1:13" x14ac:dyDescent="0.35">
      <c r="A218">
        <v>20216</v>
      </c>
      <c r="B218" t="s">
        <v>667</v>
      </c>
      <c r="C218" t="s">
        <v>84</v>
      </c>
      <c r="D218" t="s">
        <v>55</v>
      </c>
      <c r="E218" t="s">
        <v>142</v>
      </c>
      <c r="F218" t="s">
        <v>17</v>
      </c>
      <c r="G218" t="s">
        <v>27</v>
      </c>
      <c r="H218">
        <v>10</v>
      </c>
      <c r="I218" t="s">
        <v>668</v>
      </c>
      <c r="J218" t="s">
        <v>669</v>
      </c>
      <c r="L218" t="s">
        <v>60</v>
      </c>
      <c r="M218" t="s">
        <v>21</v>
      </c>
    </row>
    <row r="219" spans="1:13" x14ac:dyDescent="0.35">
      <c r="A219">
        <v>20217</v>
      </c>
      <c r="B219" t="s">
        <v>670</v>
      </c>
      <c r="C219" t="s">
        <v>652</v>
      </c>
      <c r="D219" t="s">
        <v>121</v>
      </c>
      <c r="E219" t="s">
        <v>34</v>
      </c>
      <c r="F219" t="s">
        <v>26</v>
      </c>
      <c r="G219" t="s">
        <v>43</v>
      </c>
      <c r="H219">
        <v>17</v>
      </c>
      <c r="I219" t="s">
        <v>671</v>
      </c>
      <c r="J219" t="s">
        <v>672</v>
      </c>
      <c r="L219" t="s">
        <v>60</v>
      </c>
      <c r="M219" t="s">
        <v>21</v>
      </c>
    </row>
    <row r="220" spans="1:13" x14ac:dyDescent="0.35">
      <c r="A220">
        <v>20218</v>
      </c>
      <c r="B220" t="s">
        <v>673</v>
      </c>
      <c r="C220" t="s">
        <v>140</v>
      </c>
      <c r="D220" t="s">
        <v>68</v>
      </c>
      <c r="E220" t="s">
        <v>16</v>
      </c>
      <c r="F220" t="s">
        <v>17</v>
      </c>
      <c r="G220" t="s">
        <v>57</v>
      </c>
      <c r="H220">
        <v>2</v>
      </c>
      <c r="I220" t="s">
        <v>674</v>
      </c>
      <c r="J220" t="s">
        <v>675</v>
      </c>
      <c r="K220" t="s">
        <v>72</v>
      </c>
      <c r="L220" t="s">
        <v>30</v>
      </c>
      <c r="M220" t="s">
        <v>21</v>
      </c>
    </row>
    <row r="221" spans="1:13" x14ac:dyDescent="0.35">
      <c r="A221">
        <v>20219</v>
      </c>
      <c r="B221" t="s">
        <v>212</v>
      </c>
      <c r="C221" t="s">
        <v>80</v>
      </c>
      <c r="D221" t="s">
        <v>15</v>
      </c>
      <c r="E221" t="s">
        <v>101</v>
      </c>
      <c r="F221" t="s">
        <v>17</v>
      </c>
      <c r="G221" t="s">
        <v>35</v>
      </c>
      <c r="H221">
        <v>19</v>
      </c>
      <c r="I221" t="s">
        <v>676</v>
      </c>
      <c r="J221" t="s">
        <v>677</v>
      </c>
      <c r="K221" t="s">
        <v>116</v>
      </c>
      <c r="L221" t="s">
        <v>60</v>
      </c>
      <c r="M221" t="s">
        <v>21</v>
      </c>
    </row>
    <row r="222" spans="1:13" x14ac:dyDescent="0.35">
      <c r="A222">
        <v>20220</v>
      </c>
      <c r="B222" t="s">
        <v>13</v>
      </c>
      <c r="C222" t="s">
        <v>80</v>
      </c>
      <c r="D222" t="s">
        <v>177</v>
      </c>
      <c r="E222" t="s">
        <v>69</v>
      </c>
      <c r="F222" t="s">
        <v>26</v>
      </c>
      <c r="G222" t="s">
        <v>57</v>
      </c>
      <c r="H222">
        <v>4</v>
      </c>
      <c r="J222" t="s">
        <v>678</v>
      </c>
      <c r="L222" t="s">
        <v>38</v>
      </c>
      <c r="M222" t="s">
        <v>21</v>
      </c>
    </row>
    <row r="223" spans="1:13" x14ac:dyDescent="0.35">
      <c r="A223">
        <v>20221</v>
      </c>
      <c r="B223" t="s">
        <v>670</v>
      </c>
      <c r="C223" t="s">
        <v>246</v>
      </c>
      <c r="D223" t="s">
        <v>314</v>
      </c>
      <c r="E223" t="s">
        <v>25</v>
      </c>
      <c r="F223" t="s">
        <v>26</v>
      </c>
      <c r="G223" t="s">
        <v>57</v>
      </c>
      <c r="H223">
        <v>1</v>
      </c>
      <c r="I223" t="s">
        <v>679</v>
      </c>
      <c r="J223" t="s">
        <v>680</v>
      </c>
      <c r="K223" t="s">
        <v>104</v>
      </c>
      <c r="L223" t="s">
        <v>30</v>
      </c>
      <c r="M223" t="s">
        <v>21</v>
      </c>
    </row>
    <row r="224" spans="1:13" x14ac:dyDescent="0.35">
      <c r="A224">
        <v>20222</v>
      </c>
      <c r="B224" t="s">
        <v>176</v>
      </c>
      <c r="C224" t="s">
        <v>140</v>
      </c>
      <c r="D224" t="s">
        <v>33</v>
      </c>
      <c r="E224" t="s">
        <v>85</v>
      </c>
      <c r="F224" t="s">
        <v>17</v>
      </c>
      <c r="G224" t="s">
        <v>57</v>
      </c>
      <c r="H224">
        <v>13</v>
      </c>
      <c r="I224" t="s">
        <v>681</v>
      </c>
      <c r="J224" t="s">
        <v>682</v>
      </c>
      <c r="L224" t="s">
        <v>60</v>
      </c>
      <c r="M224" t="s">
        <v>21</v>
      </c>
    </row>
    <row r="225" spans="1:13" x14ac:dyDescent="0.35">
      <c r="A225">
        <v>20223</v>
      </c>
      <c r="B225" t="s">
        <v>627</v>
      </c>
      <c r="C225" t="s">
        <v>246</v>
      </c>
      <c r="D225" t="s">
        <v>49</v>
      </c>
      <c r="E225" t="s">
        <v>69</v>
      </c>
      <c r="F225" t="s">
        <v>26</v>
      </c>
      <c r="G225" t="s">
        <v>57</v>
      </c>
      <c r="H225">
        <v>17</v>
      </c>
      <c r="I225" t="s">
        <v>420</v>
      </c>
      <c r="J225" t="s">
        <v>683</v>
      </c>
      <c r="K225" t="s">
        <v>72</v>
      </c>
      <c r="L225" t="s">
        <v>60</v>
      </c>
      <c r="M225" t="s">
        <v>21</v>
      </c>
    </row>
    <row r="226" spans="1:13" x14ac:dyDescent="0.35">
      <c r="A226">
        <v>20224</v>
      </c>
      <c r="B226" t="s">
        <v>684</v>
      </c>
      <c r="C226" t="s">
        <v>23</v>
      </c>
      <c r="D226" t="s">
        <v>15</v>
      </c>
      <c r="E226" t="s">
        <v>85</v>
      </c>
      <c r="F226" t="s">
        <v>17</v>
      </c>
      <c r="G226" t="s">
        <v>27</v>
      </c>
      <c r="H226">
        <v>11</v>
      </c>
      <c r="I226" t="s">
        <v>685</v>
      </c>
      <c r="J226" t="s">
        <v>686</v>
      </c>
      <c r="L226" t="s">
        <v>30</v>
      </c>
      <c r="M226" t="s">
        <v>21</v>
      </c>
    </row>
    <row r="227" spans="1:13" x14ac:dyDescent="0.35">
      <c r="A227">
        <v>20225</v>
      </c>
      <c r="B227" t="s">
        <v>687</v>
      </c>
      <c r="C227" t="s">
        <v>80</v>
      </c>
      <c r="D227" t="s">
        <v>24</v>
      </c>
      <c r="E227" t="s">
        <v>42</v>
      </c>
      <c r="F227" t="s">
        <v>17</v>
      </c>
      <c r="G227" t="s">
        <v>35</v>
      </c>
      <c r="H227">
        <v>6</v>
      </c>
      <c r="I227" t="s">
        <v>688</v>
      </c>
      <c r="J227" t="s">
        <v>689</v>
      </c>
      <c r="K227" t="s">
        <v>570</v>
      </c>
      <c r="L227" t="s">
        <v>60</v>
      </c>
      <c r="M227" t="s">
        <v>21</v>
      </c>
    </row>
    <row r="228" spans="1:13" x14ac:dyDescent="0.35">
      <c r="A228">
        <v>20226</v>
      </c>
      <c r="B228" t="s">
        <v>690</v>
      </c>
      <c r="C228" t="s">
        <v>80</v>
      </c>
      <c r="D228" t="s">
        <v>24</v>
      </c>
      <c r="E228" t="s">
        <v>34</v>
      </c>
      <c r="F228" t="s">
        <v>26</v>
      </c>
      <c r="G228" t="s">
        <v>35</v>
      </c>
      <c r="H228">
        <v>10</v>
      </c>
      <c r="I228" t="s">
        <v>691</v>
      </c>
      <c r="J228" t="s">
        <v>692</v>
      </c>
      <c r="L228" t="s">
        <v>30</v>
      </c>
      <c r="M228" t="s">
        <v>21</v>
      </c>
    </row>
    <row r="229" spans="1:13" x14ac:dyDescent="0.35">
      <c r="A229">
        <v>20227</v>
      </c>
      <c r="B229" t="s">
        <v>693</v>
      </c>
      <c r="C229" t="s">
        <v>118</v>
      </c>
      <c r="D229" t="s">
        <v>15</v>
      </c>
      <c r="E229" t="s">
        <v>166</v>
      </c>
      <c r="F229" t="s">
        <v>17</v>
      </c>
      <c r="G229" t="s">
        <v>43</v>
      </c>
      <c r="H229">
        <v>15</v>
      </c>
      <c r="I229" t="s">
        <v>694</v>
      </c>
      <c r="J229" t="s">
        <v>695</v>
      </c>
      <c r="L229" t="s">
        <v>30</v>
      </c>
      <c r="M229" t="s">
        <v>21</v>
      </c>
    </row>
    <row r="230" spans="1:13" x14ac:dyDescent="0.35">
      <c r="A230">
        <v>20228</v>
      </c>
      <c r="B230" t="s">
        <v>696</v>
      </c>
      <c r="C230" t="s">
        <v>74</v>
      </c>
      <c r="D230" t="s">
        <v>177</v>
      </c>
      <c r="E230" t="s">
        <v>69</v>
      </c>
      <c r="F230" t="s">
        <v>26</v>
      </c>
      <c r="G230" t="s">
        <v>27</v>
      </c>
      <c r="H230">
        <v>14</v>
      </c>
      <c r="I230" t="s">
        <v>697</v>
      </c>
      <c r="J230" t="s">
        <v>698</v>
      </c>
      <c r="K230" t="s">
        <v>116</v>
      </c>
      <c r="L230" t="s">
        <v>30</v>
      </c>
      <c r="M230" t="s">
        <v>21</v>
      </c>
    </row>
    <row r="231" spans="1:13" x14ac:dyDescent="0.35">
      <c r="A231">
        <v>20229</v>
      </c>
      <c r="B231" t="s">
        <v>699</v>
      </c>
      <c r="C231" t="s">
        <v>67</v>
      </c>
      <c r="D231" t="s">
        <v>141</v>
      </c>
      <c r="E231" t="s">
        <v>166</v>
      </c>
      <c r="F231" t="s">
        <v>17</v>
      </c>
      <c r="G231" t="s">
        <v>43</v>
      </c>
      <c r="H231">
        <v>18</v>
      </c>
      <c r="I231" t="s">
        <v>700</v>
      </c>
      <c r="J231" t="s">
        <v>701</v>
      </c>
      <c r="L231" t="s">
        <v>30</v>
      </c>
      <c r="M231" t="s">
        <v>21</v>
      </c>
    </row>
    <row r="232" spans="1:13" x14ac:dyDescent="0.35">
      <c r="A232">
        <v>20230</v>
      </c>
      <c r="B232" t="s">
        <v>183</v>
      </c>
      <c r="C232" t="s">
        <v>246</v>
      </c>
      <c r="D232" t="s">
        <v>49</v>
      </c>
      <c r="E232" t="s">
        <v>166</v>
      </c>
      <c r="F232" t="s">
        <v>17</v>
      </c>
      <c r="G232" t="s">
        <v>35</v>
      </c>
      <c r="H232">
        <v>21</v>
      </c>
      <c r="I232" t="s">
        <v>702</v>
      </c>
      <c r="J232" t="s">
        <v>703</v>
      </c>
      <c r="L232" t="s">
        <v>60</v>
      </c>
      <c r="M232" t="s">
        <v>21</v>
      </c>
    </row>
    <row r="233" spans="1:13" x14ac:dyDescent="0.35">
      <c r="A233">
        <v>20231</v>
      </c>
      <c r="B233" t="s">
        <v>203</v>
      </c>
      <c r="C233" t="s">
        <v>23</v>
      </c>
      <c r="D233" t="s">
        <v>15</v>
      </c>
      <c r="E233" t="s">
        <v>85</v>
      </c>
      <c r="F233" t="s">
        <v>17</v>
      </c>
      <c r="G233" t="s">
        <v>35</v>
      </c>
      <c r="H233">
        <v>25</v>
      </c>
      <c r="I233" t="s">
        <v>704</v>
      </c>
      <c r="J233" t="s">
        <v>705</v>
      </c>
      <c r="K233" t="s">
        <v>72</v>
      </c>
      <c r="L233" t="s">
        <v>60</v>
      </c>
      <c r="M233" t="s">
        <v>21</v>
      </c>
    </row>
    <row r="234" spans="1:13" x14ac:dyDescent="0.35">
      <c r="A234">
        <v>20232</v>
      </c>
      <c r="B234" t="s">
        <v>706</v>
      </c>
      <c r="C234" t="s">
        <v>14</v>
      </c>
      <c r="D234" t="s">
        <v>24</v>
      </c>
      <c r="E234" t="s">
        <v>142</v>
      </c>
      <c r="F234" t="s">
        <v>17</v>
      </c>
      <c r="G234" t="s">
        <v>35</v>
      </c>
      <c r="H234">
        <v>20</v>
      </c>
      <c r="I234" t="s">
        <v>707</v>
      </c>
      <c r="J234" t="s">
        <v>708</v>
      </c>
      <c r="K234" t="s">
        <v>65</v>
      </c>
      <c r="L234" t="s">
        <v>30</v>
      </c>
      <c r="M234" t="s">
        <v>21</v>
      </c>
    </row>
    <row r="235" spans="1:13" x14ac:dyDescent="0.35">
      <c r="A235">
        <v>20233</v>
      </c>
      <c r="B235" t="s">
        <v>180</v>
      </c>
      <c r="C235" t="s">
        <v>96</v>
      </c>
      <c r="D235" t="s">
        <v>49</v>
      </c>
      <c r="E235" t="s">
        <v>50</v>
      </c>
      <c r="F235" t="s">
        <v>17</v>
      </c>
      <c r="G235" t="s">
        <v>35</v>
      </c>
      <c r="H235">
        <v>10</v>
      </c>
      <c r="I235" t="s">
        <v>709</v>
      </c>
      <c r="J235" t="s">
        <v>710</v>
      </c>
      <c r="L235" t="s">
        <v>30</v>
      </c>
      <c r="M235" t="s">
        <v>21</v>
      </c>
    </row>
    <row r="236" spans="1:13" x14ac:dyDescent="0.35">
      <c r="A236">
        <v>20234</v>
      </c>
      <c r="B236" t="s">
        <v>325</v>
      </c>
      <c r="C236" t="s">
        <v>80</v>
      </c>
      <c r="D236" t="s">
        <v>75</v>
      </c>
      <c r="E236" t="s">
        <v>85</v>
      </c>
      <c r="F236" t="s">
        <v>17</v>
      </c>
      <c r="G236" t="s">
        <v>18</v>
      </c>
      <c r="H236">
        <v>20</v>
      </c>
      <c r="I236" t="s">
        <v>711</v>
      </c>
      <c r="J236" t="s">
        <v>712</v>
      </c>
      <c r="L236" t="s">
        <v>60</v>
      </c>
      <c r="M236" t="s">
        <v>21</v>
      </c>
    </row>
    <row r="237" spans="1:13" x14ac:dyDescent="0.35">
      <c r="A237">
        <v>20235</v>
      </c>
      <c r="B237" t="s">
        <v>713</v>
      </c>
      <c r="C237" t="s">
        <v>23</v>
      </c>
      <c r="D237" t="s">
        <v>15</v>
      </c>
      <c r="E237" t="s">
        <v>69</v>
      </c>
      <c r="F237" t="s">
        <v>26</v>
      </c>
      <c r="G237" t="s">
        <v>76</v>
      </c>
      <c r="H237">
        <v>18</v>
      </c>
      <c r="I237" t="s">
        <v>714</v>
      </c>
      <c r="J237" t="s">
        <v>715</v>
      </c>
      <c r="L237" t="s">
        <v>30</v>
      </c>
      <c r="M237" t="s">
        <v>21</v>
      </c>
    </row>
    <row r="238" spans="1:13" x14ac:dyDescent="0.35">
      <c r="A238">
        <v>20236</v>
      </c>
      <c r="B238" t="s">
        <v>716</v>
      </c>
      <c r="C238" t="s">
        <v>100</v>
      </c>
      <c r="D238" t="s">
        <v>141</v>
      </c>
      <c r="E238" t="s">
        <v>42</v>
      </c>
      <c r="F238" t="s">
        <v>17</v>
      </c>
      <c r="G238" t="s">
        <v>76</v>
      </c>
      <c r="H238">
        <v>4</v>
      </c>
      <c r="I238" t="s">
        <v>717</v>
      </c>
      <c r="J238" t="s">
        <v>718</v>
      </c>
      <c r="K238" t="s">
        <v>72</v>
      </c>
      <c r="L238" t="s">
        <v>30</v>
      </c>
      <c r="M238" t="s">
        <v>21</v>
      </c>
    </row>
    <row r="239" spans="1:13" x14ac:dyDescent="0.35">
      <c r="A239">
        <v>20237</v>
      </c>
      <c r="B239" t="s">
        <v>719</v>
      </c>
      <c r="C239" t="s">
        <v>243</v>
      </c>
      <c r="D239" t="s">
        <v>113</v>
      </c>
      <c r="E239" t="s">
        <v>50</v>
      </c>
      <c r="F239" t="s">
        <v>17</v>
      </c>
      <c r="G239" t="s">
        <v>76</v>
      </c>
      <c r="H239">
        <v>8</v>
      </c>
      <c r="I239" t="s">
        <v>720</v>
      </c>
      <c r="J239" t="s">
        <v>721</v>
      </c>
      <c r="L239" t="s">
        <v>30</v>
      </c>
      <c r="M239" t="s">
        <v>21</v>
      </c>
    </row>
    <row r="240" spans="1:13" x14ac:dyDescent="0.35">
      <c r="A240">
        <v>20238</v>
      </c>
      <c r="B240" t="s">
        <v>722</v>
      </c>
      <c r="C240" t="s">
        <v>14</v>
      </c>
      <c r="D240" t="s">
        <v>75</v>
      </c>
      <c r="E240" t="s">
        <v>56</v>
      </c>
      <c r="F240" t="s">
        <v>17</v>
      </c>
      <c r="G240" t="s">
        <v>18</v>
      </c>
      <c r="H240">
        <v>13</v>
      </c>
      <c r="I240" t="s">
        <v>723</v>
      </c>
      <c r="J240" t="s">
        <v>724</v>
      </c>
      <c r="L240" t="s">
        <v>60</v>
      </c>
      <c r="M240" t="s">
        <v>21</v>
      </c>
    </row>
    <row r="241" spans="1:13" x14ac:dyDescent="0.35">
      <c r="A241">
        <v>20239</v>
      </c>
      <c r="B241" t="s">
        <v>725</v>
      </c>
      <c r="C241" t="s">
        <v>96</v>
      </c>
      <c r="D241" t="s">
        <v>49</v>
      </c>
      <c r="E241" t="s">
        <v>166</v>
      </c>
      <c r="F241" t="s">
        <v>17</v>
      </c>
      <c r="G241" t="s">
        <v>18</v>
      </c>
      <c r="H241">
        <v>20</v>
      </c>
      <c r="I241" t="s">
        <v>726</v>
      </c>
      <c r="J241" t="s">
        <v>727</v>
      </c>
      <c r="K241" t="s">
        <v>72</v>
      </c>
      <c r="L241" t="s">
        <v>30</v>
      </c>
      <c r="M241" t="s">
        <v>21</v>
      </c>
    </row>
    <row r="242" spans="1:13" x14ac:dyDescent="0.35">
      <c r="A242">
        <v>20240</v>
      </c>
      <c r="B242" t="s">
        <v>337</v>
      </c>
      <c r="C242" t="s">
        <v>14</v>
      </c>
      <c r="D242" t="s">
        <v>75</v>
      </c>
      <c r="E242" t="s">
        <v>25</v>
      </c>
      <c r="F242" t="s">
        <v>26</v>
      </c>
      <c r="G242" t="s">
        <v>35</v>
      </c>
      <c r="H242">
        <v>2</v>
      </c>
      <c r="I242" t="s">
        <v>728</v>
      </c>
      <c r="J242" t="s">
        <v>729</v>
      </c>
      <c r="L242" t="s">
        <v>30</v>
      </c>
      <c r="M242" t="s">
        <v>21</v>
      </c>
    </row>
    <row r="243" spans="1:13" x14ac:dyDescent="0.35">
      <c r="A243">
        <v>20241</v>
      </c>
      <c r="B243" t="s">
        <v>730</v>
      </c>
      <c r="C243" t="s">
        <v>88</v>
      </c>
      <c r="D243" t="s">
        <v>113</v>
      </c>
      <c r="E243" t="s">
        <v>16</v>
      </c>
      <c r="F243" t="s">
        <v>17</v>
      </c>
      <c r="G243" t="s">
        <v>27</v>
      </c>
      <c r="H243">
        <v>3</v>
      </c>
      <c r="I243" t="s">
        <v>731</v>
      </c>
      <c r="J243" t="s">
        <v>732</v>
      </c>
      <c r="K243" t="s">
        <v>104</v>
      </c>
      <c r="L243" t="s">
        <v>30</v>
      </c>
      <c r="M243" t="s">
        <v>151</v>
      </c>
    </row>
    <row r="244" spans="1:13" x14ac:dyDescent="0.35">
      <c r="A244">
        <v>20242</v>
      </c>
      <c r="B244" t="s">
        <v>733</v>
      </c>
      <c r="C244" t="s">
        <v>32</v>
      </c>
      <c r="D244" t="s">
        <v>141</v>
      </c>
      <c r="E244" t="s">
        <v>107</v>
      </c>
      <c r="F244" t="s">
        <v>26</v>
      </c>
      <c r="G244" t="s">
        <v>76</v>
      </c>
      <c r="H244">
        <v>15</v>
      </c>
      <c r="I244" t="s">
        <v>734</v>
      </c>
      <c r="J244" t="s">
        <v>735</v>
      </c>
      <c r="K244" t="s">
        <v>72</v>
      </c>
      <c r="L244" t="s">
        <v>30</v>
      </c>
      <c r="M244" t="s">
        <v>21</v>
      </c>
    </row>
    <row r="245" spans="1:13" x14ac:dyDescent="0.35">
      <c r="A245">
        <v>20243</v>
      </c>
      <c r="B245" t="s">
        <v>696</v>
      </c>
      <c r="C245" t="s">
        <v>264</v>
      </c>
      <c r="D245" t="s">
        <v>41</v>
      </c>
      <c r="E245" t="s">
        <v>107</v>
      </c>
      <c r="F245" t="s">
        <v>26</v>
      </c>
      <c r="G245" t="s">
        <v>57</v>
      </c>
      <c r="H245">
        <v>3</v>
      </c>
      <c r="I245" t="s">
        <v>736</v>
      </c>
      <c r="J245" t="s">
        <v>737</v>
      </c>
      <c r="L245" t="s">
        <v>30</v>
      </c>
      <c r="M245" t="s">
        <v>21</v>
      </c>
    </row>
    <row r="246" spans="1:13" x14ac:dyDescent="0.35">
      <c r="A246">
        <v>20244</v>
      </c>
      <c r="B246" t="s">
        <v>738</v>
      </c>
      <c r="C246" t="s">
        <v>14</v>
      </c>
      <c r="D246" t="s">
        <v>15</v>
      </c>
      <c r="E246" t="s">
        <v>34</v>
      </c>
      <c r="F246" t="s">
        <v>26</v>
      </c>
      <c r="G246" t="s">
        <v>43</v>
      </c>
      <c r="H246">
        <v>16</v>
      </c>
      <c r="I246" t="s">
        <v>739</v>
      </c>
      <c r="J246" t="s">
        <v>740</v>
      </c>
      <c r="K246" t="s">
        <v>72</v>
      </c>
      <c r="L246" t="s">
        <v>30</v>
      </c>
      <c r="M246" t="s">
        <v>21</v>
      </c>
    </row>
    <row r="247" spans="1:13" x14ac:dyDescent="0.35">
      <c r="A247">
        <v>20245</v>
      </c>
      <c r="B247" t="s">
        <v>741</v>
      </c>
      <c r="C247" t="s">
        <v>23</v>
      </c>
      <c r="D247" t="s">
        <v>15</v>
      </c>
      <c r="E247" t="s">
        <v>101</v>
      </c>
      <c r="F247" t="s">
        <v>17</v>
      </c>
      <c r="G247" t="s">
        <v>76</v>
      </c>
      <c r="H247">
        <v>11</v>
      </c>
      <c r="I247" t="s">
        <v>742</v>
      </c>
      <c r="J247" t="s">
        <v>743</v>
      </c>
      <c r="K247" t="s">
        <v>65</v>
      </c>
      <c r="L247" t="s">
        <v>30</v>
      </c>
      <c r="M247" t="s">
        <v>21</v>
      </c>
    </row>
    <row r="248" spans="1:13" x14ac:dyDescent="0.35">
      <c r="A248">
        <v>20246</v>
      </c>
      <c r="B248" t="s">
        <v>371</v>
      </c>
      <c r="C248" t="s">
        <v>74</v>
      </c>
      <c r="D248" t="s">
        <v>24</v>
      </c>
      <c r="E248" t="s">
        <v>166</v>
      </c>
      <c r="F248" t="s">
        <v>395</v>
      </c>
      <c r="G248" t="s">
        <v>18</v>
      </c>
      <c r="H248">
        <v>24</v>
      </c>
      <c r="I248" t="s">
        <v>744</v>
      </c>
      <c r="J248" t="s">
        <v>745</v>
      </c>
      <c r="K248" t="s">
        <v>116</v>
      </c>
      <c r="L248" t="s">
        <v>60</v>
      </c>
      <c r="M248" t="s">
        <v>21</v>
      </c>
    </row>
    <row r="249" spans="1:13" x14ac:dyDescent="0.35">
      <c r="A249">
        <v>20247</v>
      </c>
      <c r="B249" t="s">
        <v>738</v>
      </c>
      <c r="C249" t="s">
        <v>106</v>
      </c>
      <c r="D249" t="s">
        <v>49</v>
      </c>
      <c r="E249" t="s">
        <v>34</v>
      </c>
      <c r="F249" t="s">
        <v>26</v>
      </c>
      <c r="G249" t="s">
        <v>35</v>
      </c>
      <c r="H249">
        <v>14</v>
      </c>
      <c r="I249" t="s">
        <v>746</v>
      </c>
      <c r="J249" t="s">
        <v>747</v>
      </c>
      <c r="L249" t="s">
        <v>30</v>
      </c>
      <c r="M249" t="s">
        <v>21</v>
      </c>
    </row>
    <row r="250" spans="1:13" x14ac:dyDescent="0.35">
      <c r="A250">
        <v>20248</v>
      </c>
      <c r="B250" t="s">
        <v>748</v>
      </c>
      <c r="C250" t="s">
        <v>100</v>
      </c>
      <c r="D250" t="s">
        <v>141</v>
      </c>
      <c r="E250" t="s">
        <v>34</v>
      </c>
      <c r="F250" t="s">
        <v>26</v>
      </c>
      <c r="G250" t="s">
        <v>18</v>
      </c>
      <c r="H250">
        <v>9</v>
      </c>
      <c r="I250" t="s">
        <v>749</v>
      </c>
      <c r="J250" t="s">
        <v>750</v>
      </c>
      <c r="L250" t="s">
        <v>60</v>
      </c>
      <c r="M250" t="s">
        <v>21</v>
      </c>
    </row>
    <row r="251" spans="1:13" x14ac:dyDescent="0.35">
      <c r="A251">
        <v>20249</v>
      </c>
      <c r="B251" t="s">
        <v>751</v>
      </c>
      <c r="C251" t="s">
        <v>74</v>
      </c>
      <c r="D251" t="s">
        <v>24</v>
      </c>
      <c r="E251" t="s">
        <v>42</v>
      </c>
      <c r="F251" t="s">
        <v>17</v>
      </c>
      <c r="G251" t="s">
        <v>76</v>
      </c>
      <c r="H251">
        <v>19</v>
      </c>
      <c r="I251" t="s">
        <v>752</v>
      </c>
      <c r="J251" t="s">
        <v>753</v>
      </c>
      <c r="K251" t="s">
        <v>220</v>
      </c>
      <c r="L251" t="s">
        <v>60</v>
      </c>
      <c r="M251" t="s">
        <v>21</v>
      </c>
    </row>
    <row r="252" spans="1:13" x14ac:dyDescent="0.35">
      <c r="A252">
        <v>20250</v>
      </c>
      <c r="B252" t="s">
        <v>754</v>
      </c>
      <c r="C252" t="s">
        <v>246</v>
      </c>
      <c r="D252" t="s">
        <v>314</v>
      </c>
      <c r="E252" t="s">
        <v>16</v>
      </c>
      <c r="F252" t="s">
        <v>17</v>
      </c>
      <c r="G252" t="s">
        <v>57</v>
      </c>
      <c r="H252">
        <v>18</v>
      </c>
      <c r="I252" t="s">
        <v>755</v>
      </c>
      <c r="J252" t="s">
        <v>756</v>
      </c>
      <c r="L252" t="s">
        <v>60</v>
      </c>
      <c r="M252" t="s">
        <v>21</v>
      </c>
    </row>
    <row r="253" spans="1:13" x14ac:dyDescent="0.35">
      <c r="A253">
        <v>20251</v>
      </c>
      <c r="B253" t="s">
        <v>754</v>
      </c>
      <c r="C253" t="s">
        <v>118</v>
      </c>
      <c r="D253" t="s">
        <v>24</v>
      </c>
      <c r="E253" t="s">
        <v>142</v>
      </c>
      <c r="F253" t="s">
        <v>17</v>
      </c>
      <c r="G253" t="s">
        <v>18</v>
      </c>
      <c r="H253">
        <v>13</v>
      </c>
      <c r="I253" t="s">
        <v>757</v>
      </c>
      <c r="J253" t="s">
        <v>758</v>
      </c>
      <c r="K253" t="s">
        <v>116</v>
      </c>
      <c r="L253" t="s">
        <v>38</v>
      </c>
      <c r="M253" t="s">
        <v>21</v>
      </c>
    </row>
    <row r="254" spans="1:13" x14ac:dyDescent="0.35">
      <c r="A254">
        <v>20252</v>
      </c>
      <c r="B254" t="s">
        <v>759</v>
      </c>
      <c r="C254" t="s">
        <v>243</v>
      </c>
      <c r="D254" t="s">
        <v>113</v>
      </c>
      <c r="E254" t="s">
        <v>42</v>
      </c>
      <c r="F254" t="s">
        <v>17</v>
      </c>
      <c r="G254" t="s">
        <v>35</v>
      </c>
      <c r="H254">
        <v>15</v>
      </c>
      <c r="I254" t="s">
        <v>760</v>
      </c>
      <c r="J254" t="s">
        <v>761</v>
      </c>
      <c r="K254" t="s">
        <v>220</v>
      </c>
      <c r="L254" t="s">
        <v>60</v>
      </c>
      <c r="M254" t="s">
        <v>21</v>
      </c>
    </row>
    <row r="255" spans="1:13" x14ac:dyDescent="0.35">
      <c r="A255">
        <v>20253</v>
      </c>
      <c r="B255" t="s">
        <v>643</v>
      </c>
      <c r="C255" t="s">
        <v>62</v>
      </c>
      <c r="D255" t="s">
        <v>55</v>
      </c>
      <c r="E255" t="s">
        <v>16</v>
      </c>
      <c r="F255" t="s">
        <v>17</v>
      </c>
      <c r="G255" t="s">
        <v>18</v>
      </c>
      <c r="H255">
        <v>2</v>
      </c>
      <c r="I255" t="s">
        <v>762</v>
      </c>
      <c r="J255" t="s">
        <v>763</v>
      </c>
      <c r="L255" t="s">
        <v>30</v>
      </c>
      <c r="M255" t="s">
        <v>21</v>
      </c>
    </row>
    <row r="256" spans="1:13" x14ac:dyDescent="0.35">
      <c r="A256">
        <v>20254</v>
      </c>
      <c r="B256" t="s">
        <v>764</v>
      </c>
      <c r="C256" t="s">
        <v>106</v>
      </c>
      <c r="D256" t="s">
        <v>314</v>
      </c>
      <c r="E256" t="s">
        <v>85</v>
      </c>
      <c r="F256" t="s">
        <v>17</v>
      </c>
      <c r="G256" t="s">
        <v>76</v>
      </c>
      <c r="H256">
        <v>18</v>
      </c>
      <c r="J256" t="s">
        <v>765</v>
      </c>
      <c r="L256" t="s">
        <v>60</v>
      </c>
      <c r="M256" t="s">
        <v>21</v>
      </c>
    </row>
    <row r="257" spans="1:13" x14ac:dyDescent="0.35">
      <c r="A257">
        <v>20248</v>
      </c>
      <c r="B257" t="s">
        <v>766</v>
      </c>
      <c r="C257" t="s">
        <v>80</v>
      </c>
      <c r="D257" t="s">
        <v>177</v>
      </c>
      <c r="E257" t="s">
        <v>25</v>
      </c>
      <c r="F257" t="s">
        <v>26</v>
      </c>
      <c r="G257" t="s">
        <v>43</v>
      </c>
      <c r="H257">
        <v>19</v>
      </c>
      <c r="I257" t="s">
        <v>767</v>
      </c>
      <c r="J257" t="s">
        <v>768</v>
      </c>
      <c r="L257" t="s">
        <v>60</v>
      </c>
      <c r="M257" t="s">
        <v>21</v>
      </c>
    </row>
    <row r="258" spans="1:13" x14ac:dyDescent="0.35">
      <c r="A258">
        <v>20256</v>
      </c>
      <c r="B258" t="s">
        <v>769</v>
      </c>
      <c r="C258" t="s">
        <v>14</v>
      </c>
      <c r="D258" t="s">
        <v>177</v>
      </c>
      <c r="E258" t="s">
        <v>107</v>
      </c>
      <c r="F258" t="s">
        <v>26</v>
      </c>
      <c r="G258" t="s">
        <v>76</v>
      </c>
      <c r="H258">
        <v>24</v>
      </c>
      <c r="I258" t="s">
        <v>770</v>
      </c>
      <c r="J258" t="s">
        <v>771</v>
      </c>
      <c r="K258" t="s">
        <v>104</v>
      </c>
      <c r="L258" t="s">
        <v>60</v>
      </c>
      <c r="M258" t="s">
        <v>151</v>
      </c>
    </row>
    <row r="259" spans="1:13" x14ac:dyDescent="0.35">
      <c r="A259">
        <v>20257</v>
      </c>
      <c r="B259" t="s">
        <v>772</v>
      </c>
      <c r="C259" t="s">
        <v>225</v>
      </c>
      <c r="D259" t="s">
        <v>113</v>
      </c>
      <c r="E259" t="s">
        <v>69</v>
      </c>
      <c r="F259" t="s">
        <v>26</v>
      </c>
      <c r="G259" t="s">
        <v>43</v>
      </c>
      <c r="H259">
        <v>16</v>
      </c>
      <c r="I259" t="s">
        <v>773</v>
      </c>
      <c r="J259" t="s">
        <v>774</v>
      </c>
      <c r="L259" t="s">
        <v>60</v>
      </c>
      <c r="M259" t="s">
        <v>21</v>
      </c>
    </row>
    <row r="260" spans="1:13" x14ac:dyDescent="0.35">
      <c r="A260">
        <v>20258</v>
      </c>
      <c r="B260" t="s">
        <v>775</v>
      </c>
      <c r="C260" t="s">
        <v>153</v>
      </c>
      <c r="D260" t="s">
        <v>121</v>
      </c>
      <c r="E260" t="s">
        <v>107</v>
      </c>
      <c r="F260" t="s">
        <v>126</v>
      </c>
      <c r="G260" t="s">
        <v>57</v>
      </c>
      <c r="H260">
        <v>17</v>
      </c>
      <c r="I260" t="s">
        <v>776</v>
      </c>
      <c r="J260" t="s">
        <v>777</v>
      </c>
      <c r="L260" t="s">
        <v>60</v>
      </c>
      <c r="M260" t="s">
        <v>21</v>
      </c>
    </row>
    <row r="261" spans="1:13" x14ac:dyDescent="0.35">
      <c r="A261">
        <v>20259</v>
      </c>
      <c r="B261" t="s">
        <v>577</v>
      </c>
      <c r="C261" t="s">
        <v>40</v>
      </c>
      <c r="D261" t="s">
        <v>41</v>
      </c>
      <c r="E261" t="s">
        <v>101</v>
      </c>
      <c r="F261" t="s">
        <v>17</v>
      </c>
      <c r="G261" t="s">
        <v>43</v>
      </c>
      <c r="H261">
        <v>13</v>
      </c>
      <c r="I261" t="s">
        <v>778</v>
      </c>
      <c r="J261" t="s">
        <v>779</v>
      </c>
      <c r="L261" t="s">
        <v>30</v>
      </c>
      <c r="M261" t="s">
        <v>21</v>
      </c>
    </row>
    <row r="262" spans="1:13" x14ac:dyDescent="0.35">
      <c r="A262">
        <v>20260</v>
      </c>
      <c r="B262" t="s">
        <v>636</v>
      </c>
      <c r="C262" t="s">
        <v>118</v>
      </c>
      <c r="D262" t="s">
        <v>177</v>
      </c>
      <c r="E262" t="s">
        <v>69</v>
      </c>
      <c r="F262" t="s">
        <v>26</v>
      </c>
      <c r="G262" t="s">
        <v>76</v>
      </c>
      <c r="H262">
        <v>19</v>
      </c>
      <c r="I262" t="s">
        <v>90</v>
      </c>
      <c r="J262" t="s">
        <v>780</v>
      </c>
      <c r="L262" t="s">
        <v>60</v>
      </c>
      <c r="M262" t="s">
        <v>21</v>
      </c>
    </row>
    <row r="263" spans="1:13" x14ac:dyDescent="0.35">
      <c r="A263">
        <v>20261</v>
      </c>
      <c r="B263" t="s">
        <v>781</v>
      </c>
      <c r="C263" t="s">
        <v>246</v>
      </c>
      <c r="D263" t="s">
        <v>314</v>
      </c>
      <c r="E263" t="s">
        <v>142</v>
      </c>
      <c r="F263" t="s">
        <v>187</v>
      </c>
      <c r="G263" t="s">
        <v>76</v>
      </c>
      <c r="H263">
        <v>19</v>
      </c>
      <c r="I263" t="s">
        <v>782</v>
      </c>
      <c r="J263" t="s">
        <v>783</v>
      </c>
      <c r="L263" t="s">
        <v>60</v>
      </c>
      <c r="M263" t="s">
        <v>21</v>
      </c>
    </row>
    <row r="264" spans="1:13" x14ac:dyDescent="0.35">
      <c r="A264">
        <v>20262</v>
      </c>
      <c r="B264" t="s">
        <v>129</v>
      </c>
      <c r="C264" t="s">
        <v>40</v>
      </c>
      <c r="D264" t="s">
        <v>121</v>
      </c>
      <c r="E264" t="s">
        <v>166</v>
      </c>
      <c r="F264" t="s">
        <v>17</v>
      </c>
      <c r="G264" t="s">
        <v>35</v>
      </c>
      <c r="H264">
        <v>14</v>
      </c>
      <c r="I264" t="s">
        <v>784</v>
      </c>
      <c r="J264" t="s">
        <v>785</v>
      </c>
      <c r="L264" t="s">
        <v>30</v>
      </c>
      <c r="M264" t="s">
        <v>21</v>
      </c>
    </row>
    <row r="265" spans="1:13" x14ac:dyDescent="0.35">
      <c r="A265">
        <v>20263</v>
      </c>
      <c r="B265" t="s">
        <v>618</v>
      </c>
      <c r="C265" t="s">
        <v>225</v>
      </c>
      <c r="D265" t="s">
        <v>113</v>
      </c>
      <c r="E265" t="s">
        <v>166</v>
      </c>
      <c r="F265" t="s">
        <v>17</v>
      </c>
      <c r="G265" t="s">
        <v>35</v>
      </c>
      <c r="H265">
        <v>17</v>
      </c>
      <c r="I265" t="s">
        <v>786</v>
      </c>
      <c r="J265" t="s">
        <v>787</v>
      </c>
      <c r="L265" t="s">
        <v>60</v>
      </c>
      <c r="M265" t="s">
        <v>21</v>
      </c>
    </row>
    <row r="266" spans="1:13" x14ac:dyDescent="0.35">
      <c r="A266">
        <v>20264</v>
      </c>
      <c r="B266" t="s">
        <v>788</v>
      </c>
      <c r="C266" t="s">
        <v>96</v>
      </c>
      <c r="D266" t="s">
        <v>314</v>
      </c>
      <c r="E266" t="s">
        <v>101</v>
      </c>
      <c r="F266" t="s">
        <v>17</v>
      </c>
      <c r="G266" t="s">
        <v>35</v>
      </c>
      <c r="H266">
        <v>4</v>
      </c>
      <c r="I266" t="s">
        <v>789</v>
      </c>
      <c r="J266" t="s">
        <v>790</v>
      </c>
      <c r="L266" t="s">
        <v>30</v>
      </c>
      <c r="M266" t="s">
        <v>21</v>
      </c>
    </row>
    <row r="267" spans="1:13" x14ac:dyDescent="0.35">
      <c r="A267">
        <v>20265</v>
      </c>
      <c r="B267" t="s">
        <v>791</v>
      </c>
      <c r="C267" t="s">
        <v>96</v>
      </c>
      <c r="D267" t="s">
        <v>314</v>
      </c>
      <c r="E267" t="s">
        <v>69</v>
      </c>
      <c r="F267" t="s">
        <v>26</v>
      </c>
      <c r="G267" t="s">
        <v>57</v>
      </c>
      <c r="H267">
        <v>25</v>
      </c>
      <c r="I267" t="s">
        <v>792</v>
      </c>
      <c r="J267" t="s">
        <v>793</v>
      </c>
      <c r="L267" t="s">
        <v>60</v>
      </c>
      <c r="M267" t="s">
        <v>21</v>
      </c>
    </row>
    <row r="268" spans="1:13" x14ac:dyDescent="0.35">
      <c r="A268">
        <v>20266</v>
      </c>
      <c r="B268" t="s">
        <v>794</v>
      </c>
      <c r="C268" t="s">
        <v>225</v>
      </c>
      <c r="D268" t="s">
        <v>89</v>
      </c>
      <c r="E268" t="s">
        <v>25</v>
      </c>
      <c r="F268" t="s">
        <v>26</v>
      </c>
      <c r="G268" t="s">
        <v>27</v>
      </c>
      <c r="H268">
        <v>15</v>
      </c>
      <c r="I268" t="s">
        <v>795</v>
      </c>
      <c r="J268" t="s">
        <v>796</v>
      </c>
      <c r="K268" t="s">
        <v>72</v>
      </c>
      <c r="L268" t="s">
        <v>60</v>
      </c>
      <c r="M268" t="s">
        <v>21</v>
      </c>
    </row>
    <row r="269" spans="1:13" x14ac:dyDescent="0.35">
      <c r="A269">
        <v>20267</v>
      </c>
      <c r="B269" t="s">
        <v>797</v>
      </c>
      <c r="C269" t="s">
        <v>40</v>
      </c>
      <c r="D269" t="s">
        <v>121</v>
      </c>
      <c r="E269" t="s">
        <v>85</v>
      </c>
      <c r="F269" t="s">
        <v>17</v>
      </c>
      <c r="G269" t="s">
        <v>18</v>
      </c>
      <c r="H269">
        <v>15</v>
      </c>
      <c r="I269" t="s">
        <v>798</v>
      </c>
      <c r="J269" t="s">
        <v>799</v>
      </c>
      <c r="K269" t="s">
        <v>299</v>
      </c>
      <c r="L269" t="s">
        <v>30</v>
      </c>
      <c r="M269" t="s">
        <v>21</v>
      </c>
    </row>
    <row r="270" spans="1:13" x14ac:dyDescent="0.35">
      <c r="A270">
        <v>20268</v>
      </c>
      <c r="B270" t="s">
        <v>311</v>
      </c>
      <c r="C270" t="s">
        <v>243</v>
      </c>
      <c r="D270" t="s">
        <v>113</v>
      </c>
      <c r="E270" t="s">
        <v>142</v>
      </c>
      <c r="F270" t="s">
        <v>17</v>
      </c>
      <c r="G270" t="s">
        <v>27</v>
      </c>
      <c r="H270">
        <v>2</v>
      </c>
      <c r="I270" t="s">
        <v>800</v>
      </c>
      <c r="J270" t="s">
        <v>801</v>
      </c>
      <c r="L270" t="s">
        <v>30</v>
      </c>
      <c r="M270" t="s">
        <v>21</v>
      </c>
    </row>
    <row r="271" spans="1:13" x14ac:dyDescent="0.35">
      <c r="A271">
        <v>20269</v>
      </c>
      <c r="B271" t="s">
        <v>457</v>
      </c>
      <c r="C271" t="s">
        <v>40</v>
      </c>
      <c r="D271" t="s">
        <v>121</v>
      </c>
      <c r="E271" t="s">
        <v>50</v>
      </c>
      <c r="F271" t="s">
        <v>17</v>
      </c>
      <c r="G271" t="s">
        <v>18</v>
      </c>
      <c r="H271">
        <v>12</v>
      </c>
      <c r="I271" t="s">
        <v>802</v>
      </c>
      <c r="J271" t="s">
        <v>803</v>
      </c>
      <c r="K271" t="s">
        <v>340</v>
      </c>
      <c r="L271" t="s">
        <v>30</v>
      </c>
      <c r="M271" t="s">
        <v>151</v>
      </c>
    </row>
    <row r="272" spans="1:13" x14ac:dyDescent="0.35">
      <c r="A272">
        <v>20270</v>
      </c>
      <c r="B272" t="s">
        <v>411</v>
      </c>
      <c r="C272" t="s">
        <v>140</v>
      </c>
      <c r="D272" t="s">
        <v>141</v>
      </c>
      <c r="E272" t="s">
        <v>85</v>
      </c>
      <c r="F272" t="s">
        <v>17</v>
      </c>
      <c r="G272" t="s">
        <v>43</v>
      </c>
      <c r="H272">
        <v>5</v>
      </c>
      <c r="I272" t="s">
        <v>804</v>
      </c>
      <c r="J272" t="s">
        <v>805</v>
      </c>
      <c r="K272" t="s">
        <v>72</v>
      </c>
      <c r="L272" t="s">
        <v>30</v>
      </c>
      <c r="M272" t="s">
        <v>21</v>
      </c>
    </row>
    <row r="273" spans="1:13" x14ac:dyDescent="0.35">
      <c r="A273">
        <v>20271</v>
      </c>
      <c r="B273" t="s">
        <v>806</v>
      </c>
      <c r="C273" t="s">
        <v>106</v>
      </c>
      <c r="D273" t="s">
        <v>49</v>
      </c>
      <c r="E273" t="s">
        <v>56</v>
      </c>
      <c r="F273" t="s">
        <v>17</v>
      </c>
      <c r="G273" t="s">
        <v>76</v>
      </c>
      <c r="H273">
        <v>18</v>
      </c>
      <c r="I273" t="s">
        <v>807</v>
      </c>
      <c r="J273" t="s">
        <v>808</v>
      </c>
      <c r="L273" t="s">
        <v>60</v>
      </c>
      <c r="M273" t="s">
        <v>21</v>
      </c>
    </row>
    <row r="274" spans="1:13" x14ac:dyDescent="0.35">
      <c r="A274">
        <v>20272</v>
      </c>
      <c r="B274" t="s">
        <v>809</v>
      </c>
      <c r="C274" t="s">
        <v>80</v>
      </c>
      <c r="D274" t="s">
        <v>177</v>
      </c>
      <c r="E274" t="s">
        <v>107</v>
      </c>
      <c r="F274" t="s">
        <v>26</v>
      </c>
      <c r="G274" t="s">
        <v>18</v>
      </c>
      <c r="H274">
        <v>24</v>
      </c>
      <c r="I274" t="s">
        <v>810</v>
      </c>
      <c r="J274" t="s">
        <v>811</v>
      </c>
      <c r="L274" t="s">
        <v>60</v>
      </c>
      <c r="M274" t="s">
        <v>21</v>
      </c>
    </row>
    <row r="275" spans="1:13" x14ac:dyDescent="0.35">
      <c r="A275">
        <v>20273</v>
      </c>
      <c r="B275" t="s">
        <v>504</v>
      </c>
      <c r="C275" t="s">
        <v>80</v>
      </c>
      <c r="D275" t="s">
        <v>15</v>
      </c>
      <c r="E275" t="s">
        <v>56</v>
      </c>
      <c r="F275" t="s">
        <v>17</v>
      </c>
      <c r="G275" t="s">
        <v>35</v>
      </c>
      <c r="H275">
        <v>20</v>
      </c>
      <c r="I275" t="s">
        <v>812</v>
      </c>
      <c r="J275" t="s">
        <v>813</v>
      </c>
      <c r="K275" t="s">
        <v>72</v>
      </c>
      <c r="L275" t="s">
        <v>60</v>
      </c>
      <c r="M275" t="s">
        <v>21</v>
      </c>
    </row>
    <row r="276" spans="1:13" x14ac:dyDescent="0.35">
      <c r="A276">
        <v>20274</v>
      </c>
      <c r="B276" t="s">
        <v>165</v>
      </c>
      <c r="C276" t="s">
        <v>14</v>
      </c>
      <c r="D276" t="s">
        <v>15</v>
      </c>
      <c r="E276" t="s">
        <v>56</v>
      </c>
      <c r="F276" t="s">
        <v>17</v>
      </c>
      <c r="G276" t="s">
        <v>27</v>
      </c>
      <c r="H276">
        <v>16</v>
      </c>
      <c r="I276" t="s">
        <v>814</v>
      </c>
      <c r="J276" t="s">
        <v>815</v>
      </c>
      <c r="K276" t="s">
        <v>72</v>
      </c>
      <c r="L276" t="s">
        <v>60</v>
      </c>
      <c r="M276" t="s">
        <v>21</v>
      </c>
    </row>
    <row r="277" spans="1:13" x14ac:dyDescent="0.35">
      <c r="A277">
        <v>20275</v>
      </c>
      <c r="B277" t="s">
        <v>816</v>
      </c>
      <c r="C277" t="s">
        <v>80</v>
      </c>
      <c r="D277" t="s">
        <v>75</v>
      </c>
      <c r="E277" t="s">
        <v>16</v>
      </c>
      <c r="F277" t="s">
        <v>17</v>
      </c>
      <c r="G277" t="s">
        <v>76</v>
      </c>
      <c r="H277">
        <v>16</v>
      </c>
      <c r="I277" t="s">
        <v>817</v>
      </c>
      <c r="J277" t="s">
        <v>818</v>
      </c>
      <c r="K277" t="s">
        <v>72</v>
      </c>
      <c r="L277" t="s">
        <v>60</v>
      </c>
      <c r="M277" t="s">
        <v>21</v>
      </c>
    </row>
    <row r="278" spans="1:13" x14ac:dyDescent="0.35">
      <c r="A278">
        <v>20276</v>
      </c>
      <c r="B278" t="s">
        <v>357</v>
      </c>
      <c r="C278" t="s">
        <v>14</v>
      </c>
      <c r="D278" t="s">
        <v>177</v>
      </c>
      <c r="E278" t="s">
        <v>25</v>
      </c>
      <c r="F278" t="s">
        <v>26</v>
      </c>
      <c r="G278" t="s">
        <v>76</v>
      </c>
      <c r="H278">
        <v>17</v>
      </c>
      <c r="I278" t="s">
        <v>819</v>
      </c>
      <c r="J278" t="s">
        <v>820</v>
      </c>
      <c r="K278" t="s">
        <v>65</v>
      </c>
      <c r="L278" t="s">
        <v>60</v>
      </c>
      <c r="M278" t="s">
        <v>21</v>
      </c>
    </row>
    <row r="279" spans="1:13" x14ac:dyDescent="0.35">
      <c r="A279">
        <v>20277</v>
      </c>
      <c r="B279" t="s">
        <v>228</v>
      </c>
      <c r="C279" t="s">
        <v>140</v>
      </c>
      <c r="D279" t="s">
        <v>68</v>
      </c>
      <c r="E279" t="s">
        <v>101</v>
      </c>
      <c r="F279" t="s">
        <v>17</v>
      </c>
      <c r="G279" t="s">
        <v>27</v>
      </c>
      <c r="H279">
        <v>5</v>
      </c>
      <c r="I279" t="s">
        <v>821</v>
      </c>
      <c r="J279" t="s">
        <v>822</v>
      </c>
      <c r="K279" t="s">
        <v>104</v>
      </c>
      <c r="L279" t="s">
        <v>30</v>
      </c>
      <c r="M279" t="s">
        <v>21</v>
      </c>
    </row>
    <row r="280" spans="1:13" x14ac:dyDescent="0.35">
      <c r="A280">
        <v>20278</v>
      </c>
      <c r="B280" t="s">
        <v>583</v>
      </c>
      <c r="C280" t="s">
        <v>140</v>
      </c>
      <c r="D280" t="s">
        <v>33</v>
      </c>
      <c r="E280" t="s">
        <v>56</v>
      </c>
      <c r="F280" t="s">
        <v>17</v>
      </c>
      <c r="G280" t="s">
        <v>57</v>
      </c>
      <c r="H280">
        <v>10</v>
      </c>
      <c r="I280" t="s">
        <v>823</v>
      </c>
      <c r="J280" t="s">
        <v>824</v>
      </c>
      <c r="K280" t="s">
        <v>72</v>
      </c>
      <c r="L280" t="s">
        <v>60</v>
      </c>
      <c r="M280" t="s">
        <v>21</v>
      </c>
    </row>
    <row r="281" spans="1:13" x14ac:dyDescent="0.35">
      <c r="A281">
        <v>20279</v>
      </c>
      <c r="B281" t="s">
        <v>825</v>
      </c>
      <c r="C281" t="s">
        <v>80</v>
      </c>
      <c r="D281" t="s">
        <v>177</v>
      </c>
      <c r="E281" t="s">
        <v>42</v>
      </c>
      <c r="F281" t="s">
        <v>17</v>
      </c>
      <c r="G281" t="s">
        <v>18</v>
      </c>
      <c r="H281">
        <v>19</v>
      </c>
      <c r="I281" t="s">
        <v>826</v>
      </c>
      <c r="J281" t="s">
        <v>827</v>
      </c>
      <c r="K281" t="s">
        <v>72</v>
      </c>
      <c r="L281" t="s">
        <v>30</v>
      </c>
    </row>
    <row r="282" spans="1:13" x14ac:dyDescent="0.35">
      <c r="A282">
        <v>20280</v>
      </c>
      <c r="B282" t="s">
        <v>470</v>
      </c>
      <c r="C282" t="s">
        <v>652</v>
      </c>
      <c r="D282" t="s">
        <v>41</v>
      </c>
      <c r="E282" t="s">
        <v>107</v>
      </c>
      <c r="F282" t="s">
        <v>26</v>
      </c>
      <c r="G282" t="s">
        <v>43</v>
      </c>
      <c r="H282">
        <v>4</v>
      </c>
      <c r="I282" t="s">
        <v>828</v>
      </c>
      <c r="J282" t="s">
        <v>829</v>
      </c>
      <c r="K282" t="s">
        <v>72</v>
      </c>
      <c r="L282" t="s">
        <v>30</v>
      </c>
      <c r="M282" t="s">
        <v>21</v>
      </c>
    </row>
    <row r="283" spans="1:13" x14ac:dyDescent="0.35">
      <c r="A283">
        <v>20281</v>
      </c>
      <c r="B283" t="s">
        <v>830</v>
      </c>
      <c r="C283" t="s">
        <v>23</v>
      </c>
      <c r="D283" t="s">
        <v>75</v>
      </c>
      <c r="E283" t="s">
        <v>69</v>
      </c>
      <c r="F283" t="s">
        <v>26</v>
      </c>
      <c r="G283" t="s">
        <v>57</v>
      </c>
      <c r="H283">
        <v>11</v>
      </c>
      <c r="I283" t="s">
        <v>831</v>
      </c>
      <c r="J283" t="s">
        <v>832</v>
      </c>
      <c r="L283" t="s">
        <v>30</v>
      </c>
      <c r="M283" t="s">
        <v>21</v>
      </c>
    </row>
    <row r="284" spans="1:13" x14ac:dyDescent="0.35">
      <c r="A284">
        <v>20282</v>
      </c>
      <c r="B284" t="s">
        <v>833</v>
      </c>
      <c r="C284" t="s">
        <v>96</v>
      </c>
      <c r="D284" t="s">
        <v>314</v>
      </c>
      <c r="E284" t="s">
        <v>56</v>
      </c>
      <c r="F284" t="s">
        <v>17</v>
      </c>
      <c r="G284" t="s">
        <v>27</v>
      </c>
      <c r="H284">
        <v>10</v>
      </c>
      <c r="I284" t="s">
        <v>834</v>
      </c>
      <c r="J284" t="s">
        <v>835</v>
      </c>
      <c r="M284" t="s">
        <v>21</v>
      </c>
    </row>
    <row r="285" spans="1:13" x14ac:dyDescent="0.35">
      <c r="A285">
        <v>20283</v>
      </c>
      <c r="B285" t="s">
        <v>836</v>
      </c>
      <c r="C285" t="s">
        <v>84</v>
      </c>
      <c r="D285" t="s">
        <v>170</v>
      </c>
      <c r="E285" t="s">
        <v>85</v>
      </c>
      <c r="F285" t="s">
        <v>17</v>
      </c>
      <c r="G285" t="s">
        <v>76</v>
      </c>
      <c r="H285">
        <v>25</v>
      </c>
      <c r="I285" t="s">
        <v>837</v>
      </c>
      <c r="J285" t="s">
        <v>838</v>
      </c>
      <c r="L285" t="s">
        <v>60</v>
      </c>
      <c r="M285" t="s">
        <v>21</v>
      </c>
    </row>
    <row r="286" spans="1:13" x14ac:dyDescent="0.35">
      <c r="A286">
        <v>20284</v>
      </c>
      <c r="B286" t="s">
        <v>839</v>
      </c>
      <c r="C286" t="s">
        <v>243</v>
      </c>
      <c r="D286" t="s">
        <v>89</v>
      </c>
      <c r="E286" t="s">
        <v>69</v>
      </c>
      <c r="F286" t="s">
        <v>26</v>
      </c>
      <c r="G286" t="s">
        <v>43</v>
      </c>
      <c r="H286">
        <v>12</v>
      </c>
      <c r="I286" t="s">
        <v>840</v>
      </c>
      <c r="J286" t="s">
        <v>841</v>
      </c>
      <c r="L286" t="s">
        <v>30</v>
      </c>
      <c r="M286" t="s">
        <v>21</v>
      </c>
    </row>
    <row r="287" spans="1:13" x14ac:dyDescent="0.35">
      <c r="A287">
        <v>20285</v>
      </c>
      <c r="B287" t="s">
        <v>446</v>
      </c>
      <c r="C287" t="s">
        <v>32</v>
      </c>
      <c r="D287" t="s">
        <v>33</v>
      </c>
      <c r="E287" t="s">
        <v>166</v>
      </c>
      <c r="F287" t="s">
        <v>17</v>
      </c>
      <c r="G287" t="s">
        <v>57</v>
      </c>
      <c r="H287">
        <v>15</v>
      </c>
      <c r="I287" t="s">
        <v>842</v>
      </c>
      <c r="J287" t="s">
        <v>843</v>
      </c>
      <c r="L287" t="s">
        <v>30</v>
      </c>
      <c r="M287" t="s">
        <v>21</v>
      </c>
    </row>
    <row r="288" spans="1:13" x14ac:dyDescent="0.35">
      <c r="A288">
        <v>20286</v>
      </c>
      <c r="B288" t="s">
        <v>844</v>
      </c>
      <c r="C288" t="s">
        <v>23</v>
      </c>
      <c r="D288" t="s">
        <v>15</v>
      </c>
      <c r="E288" t="s">
        <v>166</v>
      </c>
      <c r="F288" t="s">
        <v>17</v>
      </c>
      <c r="G288" t="s">
        <v>57</v>
      </c>
      <c r="H288">
        <v>12</v>
      </c>
      <c r="I288" t="s">
        <v>845</v>
      </c>
      <c r="J288" t="s">
        <v>846</v>
      </c>
      <c r="K288" t="s">
        <v>72</v>
      </c>
      <c r="L288" t="s">
        <v>60</v>
      </c>
      <c r="M288" t="s">
        <v>21</v>
      </c>
    </row>
    <row r="289" spans="1:13" x14ac:dyDescent="0.35">
      <c r="A289">
        <v>20287</v>
      </c>
      <c r="B289" t="s">
        <v>847</v>
      </c>
      <c r="C289" t="s">
        <v>40</v>
      </c>
      <c r="D289" t="s">
        <v>121</v>
      </c>
      <c r="E289" t="s">
        <v>50</v>
      </c>
      <c r="F289" t="s">
        <v>17</v>
      </c>
      <c r="G289" t="s">
        <v>27</v>
      </c>
      <c r="H289">
        <v>15</v>
      </c>
      <c r="I289" t="s">
        <v>848</v>
      </c>
      <c r="J289" t="s">
        <v>849</v>
      </c>
      <c r="L289" t="s">
        <v>60</v>
      </c>
      <c r="M289" t="s">
        <v>21</v>
      </c>
    </row>
    <row r="290" spans="1:13" x14ac:dyDescent="0.35">
      <c r="A290">
        <v>20288</v>
      </c>
      <c r="B290" t="s">
        <v>593</v>
      </c>
      <c r="C290" t="s">
        <v>74</v>
      </c>
      <c r="D290" t="s">
        <v>75</v>
      </c>
      <c r="E290" t="s">
        <v>42</v>
      </c>
      <c r="F290" t="s">
        <v>17</v>
      </c>
      <c r="G290" t="s">
        <v>35</v>
      </c>
      <c r="H290">
        <v>19</v>
      </c>
      <c r="I290" t="s">
        <v>850</v>
      </c>
      <c r="J290" t="s">
        <v>851</v>
      </c>
      <c r="L290" t="s">
        <v>60</v>
      </c>
      <c r="M290" t="s">
        <v>21</v>
      </c>
    </row>
    <row r="291" spans="1:13" x14ac:dyDescent="0.35">
      <c r="A291">
        <v>20289</v>
      </c>
      <c r="B291" t="s">
        <v>186</v>
      </c>
      <c r="C291" t="s">
        <v>88</v>
      </c>
      <c r="D291" t="s">
        <v>113</v>
      </c>
      <c r="E291" t="s">
        <v>85</v>
      </c>
      <c r="F291" t="s">
        <v>17</v>
      </c>
      <c r="G291" t="s">
        <v>35</v>
      </c>
      <c r="H291">
        <v>14</v>
      </c>
      <c r="I291" t="s">
        <v>852</v>
      </c>
      <c r="J291" t="s">
        <v>853</v>
      </c>
      <c r="L291" t="s">
        <v>60</v>
      </c>
      <c r="M291" t="s">
        <v>21</v>
      </c>
    </row>
    <row r="292" spans="1:13" x14ac:dyDescent="0.35">
      <c r="A292">
        <v>20290</v>
      </c>
      <c r="B292" t="s">
        <v>854</v>
      </c>
      <c r="C292" t="s">
        <v>264</v>
      </c>
      <c r="D292" t="s">
        <v>121</v>
      </c>
      <c r="E292" t="s">
        <v>50</v>
      </c>
      <c r="F292" t="s">
        <v>17</v>
      </c>
      <c r="G292" t="s">
        <v>27</v>
      </c>
      <c r="H292">
        <v>18</v>
      </c>
      <c r="I292" t="s">
        <v>855</v>
      </c>
      <c r="J292" t="s">
        <v>856</v>
      </c>
      <c r="L292" t="s">
        <v>60</v>
      </c>
      <c r="M292" t="s">
        <v>21</v>
      </c>
    </row>
    <row r="293" spans="1:13" x14ac:dyDescent="0.35">
      <c r="A293">
        <v>20291</v>
      </c>
      <c r="B293" t="s">
        <v>317</v>
      </c>
      <c r="C293" t="s">
        <v>96</v>
      </c>
      <c r="D293" t="s">
        <v>49</v>
      </c>
      <c r="E293" t="s">
        <v>34</v>
      </c>
      <c r="F293" t="s">
        <v>26</v>
      </c>
      <c r="G293" t="s">
        <v>76</v>
      </c>
      <c r="H293">
        <v>5</v>
      </c>
      <c r="I293" t="s">
        <v>857</v>
      </c>
      <c r="J293" t="s">
        <v>858</v>
      </c>
      <c r="L293" t="s">
        <v>30</v>
      </c>
      <c r="M293" t="s">
        <v>21</v>
      </c>
    </row>
    <row r="294" spans="1:13" x14ac:dyDescent="0.35">
      <c r="A294">
        <v>20292</v>
      </c>
      <c r="B294" t="s">
        <v>859</v>
      </c>
      <c r="C294" t="s">
        <v>243</v>
      </c>
      <c r="D294" t="s">
        <v>113</v>
      </c>
      <c r="E294" t="s">
        <v>142</v>
      </c>
      <c r="F294" t="s">
        <v>395</v>
      </c>
      <c r="G294" t="s">
        <v>57</v>
      </c>
      <c r="H294">
        <v>16</v>
      </c>
      <c r="I294" t="s">
        <v>860</v>
      </c>
      <c r="J294" t="s">
        <v>861</v>
      </c>
      <c r="K294" t="s">
        <v>116</v>
      </c>
      <c r="L294" t="s">
        <v>60</v>
      </c>
      <c r="M294" t="s">
        <v>151</v>
      </c>
    </row>
    <row r="295" spans="1:13" x14ac:dyDescent="0.35">
      <c r="A295">
        <v>20293</v>
      </c>
      <c r="B295" t="s">
        <v>624</v>
      </c>
      <c r="C295" t="s">
        <v>23</v>
      </c>
      <c r="D295" t="s">
        <v>24</v>
      </c>
      <c r="E295" t="s">
        <v>101</v>
      </c>
      <c r="F295" t="s">
        <v>17</v>
      </c>
      <c r="G295" t="s">
        <v>57</v>
      </c>
      <c r="H295">
        <v>10</v>
      </c>
      <c r="I295" t="s">
        <v>862</v>
      </c>
      <c r="J295" t="s">
        <v>863</v>
      </c>
      <c r="K295" t="s">
        <v>72</v>
      </c>
      <c r="L295" t="s">
        <v>60</v>
      </c>
      <c r="M295" t="s">
        <v>21</v>
      </c>
    </row>
    <row r="296" spans="1:13" x14ac:dyDescent="0.35">
      <c r="A296">
        <v>20294</v>
      </c>
      <c r="B296" t="s">
        <v>864</v>
      </c>
      <c r="C296" t="s">
        <v>200</v>
      </c>
      <c r="D296" t="s">
        <v>89</v>
      </c>
      <c r="E296" t="s">
        <v>107</v>
      </c>
      <c r="F296" t="s">
        <v>26</v>
      </c>
      <c r="G296" t="s">
        <v>57</v>
      </c>
      <c r="H296">
        <v>5</v>
      </c>
      <c r="I296" t="s">
        <v>865</v>
      </c>
      <c r="J296" t="s">
        <v>866</v>
      </c>
      <c r="L296" t="s">
        <v>38</v>
      </c>
      <c r="M296" t="s">
        <v>21</v>
      </c>
    </row>
    <row r="297" spans="1:13" x14ac:dyDescent="0.35">
      <c r="A297">
        <v>20295</v>
      </c>
      <c r="B297" t="s">
        <v>306</v>
      </c>
      <c r="C297" t="s">
        <v>200</v>
      </c>
      <c r="D297" t="s">
        <v>89</v>
      </c>
      <c r="E297" t="s">
        <v>142</v>
      </c>
      <c r="F297" t="s">
        <v>17</v>
      </c>
      <c r="G297" t="s">
        <v>76</v>
      </c>
      <c r="H297">
        <v>25</v>
      </c>
      <c r="I297" t="s">
        <v>867</v>
      </c>
      <c r="J297" t="s">
        <v>868</v>
      </c>
      <c r="K297" t="s">
        <v>104</v>
      </c>
      <c r="L297" t="s">
        <v>60</v>
      </c>
      <c r="M297" t="s">
        <v>21</v>
      </c>
    </row>
    <row r="298" spans="1:13" x14ac:dyDescent="0.35">
      <c r="A298">
        <v>20296</v>
      </c>
      <c r="B298" t="s">
        <v>854</v>
      </c>
      <c r="C298" t="s">
        <v>153</v>
      </c>
      <c r="D298" t="s">
        <v>41</v>
      </c>
      <c r="E298" t="s">
        <v>107</v>
      </c>
      <c r="F298" t="s">
        <v>26</v>
      </c>
      <c r="G298" t="s">
        <v>18</v>
      </c>
      <c r="H298">
        <v>12</v>
      </c>
      <c r="I298" t="s">
        <v>869</v>
      </c>
      <c r="J298" t="s">
        <v>870</v>
      </c>
      <c r="K298" t="s">
        <v>871</v>
      </c>
      <c r="L298" t="s">
        <v>60</v>
      </c>
      <c r="M298" t="s">
        <v>21</v>
      </c>
    </row>
    <row r="299" spans="1:13" x14ac:dyDescent="0.35">
      <c r="A299">
        <v>20297</v>
      </c>
      <c r="B299" t="s">
        <v>341</v>
      </c>
      <c r="C299" t="s">
        <v>225</v>
      </c>
      <c r="D299" t="s">
        <v>89</v>
      </c>
      <c r="E299" t="s">
        <v>85</v>
      </c>
      <c r="F299" t="s">
        <v>17</v>
      </c>
      <c r="G299" t="s">
        <v>43</v>
      </c>
      <c r="H299">
        <v>15</v>
      </c>
      <c r="K299" t="s">
        <v>72</v>
      </c>
      <c r="L299" t="s">
        <v>60</v>
      </c>
      <c r="M299" t="s">
        <v>21</v>
      </c>
    </row>
    <row r="300" spans="1:13" x14ac:dyDescent="0.35">
      <c r="A300">
        <v>20298</v>
      </c>
      <c r="B300" t="s">
        <v>872</v>
      </c>
      <c r="C300" t="s">
        <v>80</v>
      </c>
      <c r="D300" t="s">
        <v>75</v>
      </c>
      <c r="E300" t="s">
        <v>107</v>
      </c>
      <c r="F300" t="s">
        <v>26</v>
      </c>
      <c r="G300" t="s">
        <v>57</v>
      </c>
      <c r="H300">
        <v>20</v>
      </c>
      <c r="I300" t="s">
        <v>873</v>
      </c>
      <c r="J300" t="s">
        <v>874</v>
      </c>
      <c r="K300" t="s">
        <v>72</v>
      </c>
      <c r="L300" t="s">
        <v>60</v>
      </c>
      <c r="M300" t="s">
        <v>21</v>
      </c>
    </row>
    <row r="301" spans="1:13" x14ac:dyDescent="0.35">
      <c r="A301">
        <v>20299</v>
      </c>
      <c r="B301" t="s">
        <v>875</v>
      </c>
      <c r="C301" t="s">
        <v>140</v>
      </c>
      <c r="D301" t="s">
        <v>33</v>
      </c>
      <c r="E301" t="s">
        <v>16</v>
      </c>
      <c r="F301" t="s">
        <v>17</v>
      </c>
      <c r="G301" t="s">
        <v>57</v>
      </c>
      <c r="H301">
        <v>14</v>
      </c>
      <c r="J301" t="s">
        <v>876</v>
      </c>
      <c r="L301" t="s">
        <v>60</v>
      </c>
      <c r="M301" t="s">
        <v>151</v>
      </c>
    </row>
    <row r="302" spans="1:13" x14ac:dyDescent="0.35">
      <c r="A302">
        <v>20300</v>
      </c>
      <c r="B302" t="s">
        <v>877</v>
      </c>
      <c r="C302" t="s">
        <v>153</v>
      </c>
      <c r="D302" t="s">
        <v>41</v>
      </c>
      <c r="E302" t="s">
        <v>50</v>
      </c>
      <c r="F302" t="s">
        <v>17</v>
      </c>
      <c r="G302" t="s">
        <v>18</v>
      </c>
      <c r="H302">
        <v>13</v>
      </c>
      <c r="I302" t="s">
        <v>878</v>
      </c>
      <c r="J302" t="s">
        <v>879</v>
      </c>
      <c r="L302" t="s">
        <v>30</v>
      </c>
    </row>
    <row r="303" spans="1:13" x14ac:dyDescent="0.35">
      <c r="A303">
        <v>20301</v>
      </c>
      <c r="B303" t="s">
        <v>120</v>
      </c>
      <c r="C303" t="s">
        <v>96</v>
      </c>
      <c r="D303" t="s">
        <v>49</v>
      </c>
      <c r="E303" t="s">
        <v>16</v>
      </c>
      <c r="F303" t="s">
        <v>17</v>
      </c>
      <c r="G303" t="s">
        <v>18</v>
      </c>
      <c r="H303">
        <v>20</v>
      </c>
      <c r="I303" t="s">
        <v>880</v>
      </c>
      <c r="J303" t="s">
        <v>881</v>
      </c>
      <c r="K303" t="s">
        <v>72</v>
      </c>
      <c r="L303" t="s">
        <v>60</v>
      </c>
      <c r="M303" t="s">
        <v>21</v>
      </c>
    </row>
    <row r="304" spans="1:13" x14ac:dyDescent="0.35">
      <c r="A304">
        <v>20302</v>
      </c>
      <c r="B304" t="s">
        <v>882</v>
      </c>
      <c r="C304" t="s">
        <v>23</v>
      </c>
      <c r="D304" t="s">
        <v>15</v>
      </c>
      <c r="E304" t="s">
        <v>34</v>
      </c>
      <c r="F304" t="s">
        <v>26</v>
      </c>
      <c r="G304" t="s">
        <v>57</v>
      </c>
      <c r="H304">
        <v>13</v>
      </c>
      <c r="I304" t="s">
        <v>883</v>
      </c>
      <c r="J304" t="s">
        <v>884</v>
      </c>
      <c r="K304" t="s">
        <v>46</v>
      </c>
      <c r="L304" t="s">
        <v>30</v>
      </c>
      <c r="M304" t="s">
        <v>21</v>
      </c>
    </row>
    <row r="305" spans="1:13" x14ac:dyDescent="0.35">
      <c r="A305">
        <v>20303</v>
      </c>
      <c r="B305" t="s">
        <v>885</v>
      </c>
      <c r="C305" t="s">
        <v>118</v>
      </c>
      <c r="D305" t="s">
        <v>24</v>
      </c>
      <c r="E305" t="s">
        <v>166</v>
      </c>
      <c r="F305" t="s">
        <v>17</v>
      </c>
      <c r="G305" t="s">
        <v>76</v>
      </c>
      <c r="H305">
        <v>18</v>
      </c>
      <c r="I305" t="s">
        <v>886</v>
      </c>
      <c r="J305" t="s">
        <v>887</v>
      </c>
      <c r="K305" t="s">
        <v>104</v>
      </c>
      <c r="L305" t="s">
        <v>60</v>
      </c>
      <c r="M305" t="s">
        <v>21</v>
      </c>
    </row>
    <row r="306" spans="1:13" x14ac:dyDescent="0.35">
      <c r="A306">
        <v>20304</v>
      </c>
      <c r="B306" t="s">
        <v>145</v>
      </c>
      <c r="C306" t="s">
        <v>80</v>
      </c>
      <c r="D306" t="s">
        <v>177</v>
      </c>
      <c r="E306" t="s">
        <v>50</v>
      </c>
      <c r="F306" t="s">
        <v>17</v>
      </c>
      <c r="G306" t="s">
        <v>76</v>
      </c>
      <c r="H306">
        <v>9</v>
      </c>
      <c r="I306" t="s">
        <v>536</v>
      </c>
      <c r="J306" t="s">
        <v>888</v>
      </c>
      <c r="K306" t="s">
        <v>104</v>
      </c>
      <c r="L306" t="s">
        <v>60</v>
      </c>
      <c r="M306" t="s">
        <v>21</v>
      </c>
    </row>
    <row r="307" spans="1:13" x14ac:dyDescent="0.35">
      <c r="A307">
        <v>20305</v>
      </c>
      <c r="B307" t="s">
        <v>492</v>
      </c>
      <c r="C307" t="s">
        <v>48</v>
      </c>
      <c r="D307" t="s">
        <v>49</v>
      </c>
      <c r="E307" t="s">
        <v>34</v>
      </c>
      <c r="F307" t="s">
        <v>26</v>
      </c>
      <c r="G307" t="s">
        <v>18</v>
      </c>
      <c r="H307">
        <v>13</v>
      </c>
      <c r="I307" t="s">
        <v>889</v>
      </c>
      <c r="J307" t="s">
        <v>890</v>
      </c>
      <c r="L307" t="s">
        <v>30</v>
      </c>
      <c r="M307" t="s">
        <v>21</v>
      </c>
    </row>
    <row r="308" spans="1:13" x14ac:dyDescent="0.35">
      <c r="A308">
        <v>20306</v>
      </c>
      <c r="B308" t="s">
        <v>891</v>
      </c>
      <c r="C308" t="s">
        <v>100</v>
      </c>
      <c r="D308" t="s">
        <v>33</v>
      </c>
      <c r="E308" t="s">
        <v>16</v>
      </c>
      <c r="F308" t="s">
        <v>17</v>
      </c>
      <c r="G308" t="s">
        <v>18</v>
      </c>
      <c r="H308">
        <v>14</v>
      </c>
      <c r="I308" t="s">
        <v>892</v>
      </c>
      <c r="J308" t="s">
        <v>893</v>
      </c>
      <c r="L308" t="s">
        <v>60</v>
      </c>
      <c r="M308" t="s">
        <v>21</v>
      </c>
    </row>
    <row r="309" spans="1:13" x14ac:dyDescent="0.35">
      <c r="A309">
        <v>20307</v>
      </c>
      <c r="B309" t="s">
        <v>156</v>
      </c>
      <c r="C309" t="s">
        <v>96</v>
      </c>
      <c r="D309" t="s">
        <v>314</v>
      </c>
      <c r="E309" t="s">
        <v>50</v>
      </c>
      <c r="F309" t="s">
        <v>17</v>
      </c>
      <c r="G309" t="s">
        <v>57</v>
      </c>
      <c r="H309">
        <v>14</v>
      </c>
      <c r="I309" t="s">
        <v>894</v>
      </c>
      <c r="J309" t="s">
        <v>895</v>
      </c>
      <c r="K309" t="s">
        <v>72</v>
      </c>
      <c r="L309" t="s">
        <v>30</v>
      </c>
      <c r="M309" t="s">
        <v>21</v>
      </c>
    </row>
    <row r="310" spans="1:13" x14ac:dyDescent="0.35">
      <c r="A310">
        <v>20308</v>
      </c>
      <c r="B310" t="s">
        <v>636</v>
      </c>
      <c r="C310" t="s">
        <v>74</v>
      </c>
      <c r="D310" t="s">
        <v>75</v>
      </c>
      <c r="E310" t="s">
        <v>166</v>
      </c>
      <c r="F310" t="s">
        <v>187</v>
      </c>
      <c r="G310" t="s">
        <v>27</v>
      </c>
      <c r="H310">
        <v>8</v>
      </c>
      <c r="I310" t="s">
        <v>896</v>
      </c>
      <c r="J310" t="s">
        <v>897</v>
      </c>
      <c r="K310" t="s">
        <v>72</v>
      </c>
      <c r="L310" t="s">
        <v>30</v>
      </c>
      <c r="M310" t="s">
        <v>151</v>
      </c>
    </row>
    <row r="311" spans="1:13" x14ac:dyDescent="0.35">
      <c r="A311">
        <v>20309</v>
      </c>
      <c r="B311" t="s">
        <v>520</v>
      </c>
      <c r="C311" t="s">
        <v>32</v>
      </c>
      <c r="D311" t="s">
        <v>141</v>
      </c>
      <c r="E311" t="s">
        <v>25</v>
      </c>
      <c r="F311" t="s">
        <v>26</v>
      </c>
      <c r="G311" t="s">
        <v>57</v>
      </c>
      <c r="H311">
        <v>2</v>
      </c>
      <c r="J311" t="s">
        <v>898</v>
      </c>
      <c r="L311" t="s">
        <v>30</v>
      </c>
      <c r="M311" t="s">
        <v>21</v>
      </c>
    </row>
    <row r="312" spans="1:13" x14ac:dyDescent="0.35">
      <c r="A312">
        <v>20310</v>
      </c>
      <c r="B312" t="s">
        <v>419</v>
      </c>
      <c r="C312" t="s">
        <v>652</v>
      </c>
      <c r="D312" t="s">
        <v>41</v>
      </c>
      <c r="E312" t="s">
        <v>56</v>
      </c>
      <c r="F312" t="s">
        <v>17</v>
      </c>
      <c r="G312" t="s">
        <v>18</v>
      </c>
      <c r="H312">
        <v>11</v>
      </c>
      <c r="I312" t="s">
        <v>899</v>
      </c>
      <c r="J312" t="s">
        <v>900</v>
      </c>
      <c r="K312" t="s">
        <v>116</v>
      </c>
      <c r="L312" t="s">
        <v>30</v>
      </c>
      <c r="M312" t="s">
        <v>21</v>
      </c>
    </row>
    <row r="313" spans="1:13" x14ac:dyDescent="0.35">
      <c r="A313">
        <v>20311</v>
      </c>
      <c r="B313" t="s">
        <v>901</v>
      </c>
      <c r="C313" t="s">
        <v>200</v>
      </c>
      <c r="D313" t="s">
        <v>89</v>
      </c>
      <c r="E313" t="s">
        <v>69</v>
      </c>
      <c r="F313" t="s">
        <v>26</v>
      </c>
      <c r="G313" t="s">
        <v>76</v>
      </c>
      <c r="H313">
        <v>18</v>
      </c>
      <c r="I313" t="s">
        <v>674</v>
      </c>
      <c r="J313" t="s">
        <v>902</v>
      </c>
      <c r="K313" t="s">
        <v>46</v>
      </c>
      <c r="L313" t="s">
        <v>60</v>
      </c>
      <c r="M313" t="s">
        <v>21</v>
      </c>
    </row>
    <row r="314" spans="1:13" x14ac:dyDescent="0.35">
      <c r="A314">
        <v>20312</v>
      </c>
      <c r="B314" t="s">
        <v>601</v>
      </c>
      <c r="C314" t="s">
        <v>140</v>
      </c>
      <c r="D314" t="s">
        <v>33</v>
      </c>
      <c r="E314" t="s">
        <v>101</v>
      </c>
      <c r="F314" t="s">
        <v>17</v>
      </c>
      <c r="G314" t="s">
        <v>27</v>
      </c>
      <c r="H314">
        <v>13</v>
      </c>
      <c r="I314" t="s">
        <v>903</v>
      </c>
      <c r="J314" t="s">
        <v>904</v>
      </c>
      <c r="K314" t="s">
        <v>116</v>
      </c>
      <c r="L314" t="s">
        <v>30</v>
      </c>
      <c r="M314" t="s">
        <v>21</v>
      </c>
    </row>
    <row r="315" spans="1:13" x14ac:dyDescent="0.35">
      <c r="A315">
        <v>20313</v>
      </c>
      <c r="B315" t="s">
        <v>905</v>
      </c>
      <c r="C315" t="s">
        <v>32</v>
      </c>
      <c r="D315" t="s">
        <v>33</v>
      </c>
      <c r="E315" t="s">
        <v>42</v>
      </c>
      <c r="F315" t="s">
        <v>17</v>
      </c>
      <c r="G315" t="s">
        <v>76</v>
      </c>
      <c r="H315">
        <v>8</v>
      </c>
      <c r="I315" t="s">
        <v>906</v>
      </c>
      <c r="J315" t="s">
        <v>907</v>
      </c>
      <c r="L315" t="s">
        <v>60</v>
      </c>
      <c r="M315" t="s">
        <v>21</v>
      </c>
    </row>
    <row r="316" spans="1:13" x14ac:dyDescent="0.35">
      <c r="A316">
        <v>20314</v>
      </c>
      <c r="B316" t="s">
        <v>725</v>
      </c>
      <c r="C316" t="s">
        <v>40</v>
      </c>
      <c r="D316" t="s">
        <v>121</v>
      </c>
      <c r="E316" t="s">
        <v>69</v>
      </c>
      <c r="F316" t="s">
        <v>26</v>
      </c>
      <c r="G316" t="s">
        <v>43</v>
      </c>
      <c r="H316">
        <v>2</v>
      </c>
      <c r="I316" t="s">
        <v>908</v>
      </c>
      <c r="J316" t="s">
        <v>909</v>
      </c>
      <c r="L316" t="s">
        <v>30</v>
      </c>
      <c r="M316" t="s">
        <v>21</v>
      </c>
    </row>
    <row r="317" spans="1:13" x14ac:dyDescent="0.35">
      <c r="A317">
        <v>20315</v>
      </c>
      <c r="B317" t="s">
        <v>910</v>
      </c>
      <c r="C317" t="s">
        <v>62</v>
      </c>
      <c r="D317" t="s">
        <v>170</v>
      </c>
      <c r="E317" t="s">
        <v>50</v>
      </c>
      <c r="F317" t="s">
        <v>17</v>
      </c>
      <c r="G317" t="s">
        <v>18</v>
      </c>
      <c r="H317">
        <v>7</v>
      </c>
      <c r="I317" t="s">
        <v>911</v>
      </c>
      <c r="J317" t="s">
        <v>912</v>
      </c>
      <c r="L317" t="s">
        <v>30</v>
      </c>
      <c r="M317" t="s">
        <v>151</v>
      </c>
    </row>
    <row r="318" spans="1:13" x14ac:dyDescent="0.35">
      <c r="A318">
        <v>20294</v>
      </c>
      <c r="B318" t="s">
        <v>885</v>
      </c>
      <c r="C318" t="s">
        <v>118</v>
      </c>
      <c r="D318" t="s">
        <v>177</v>
      </c>
      <c r="E318" t="s">
        <v>107</v>
      </c>
      <c r="F318" t="s">
        <v>26</v>
      </c>
      <c r="G318" t="s">
        <v>18</v>
      </c>
      <c r="H318">
        <v>18</v>
      </c>
      <c r="I318" t="s">
        <v>913</v>
      </c>
      <c r="J318" t="s">
        <v>914</v>
      </c>
      <c r="L318" t="s">
        <v>60</v>
      </c>
      <c r="M318" t="s">
        <v>21</v>
      </c>
    </row>
    <row r="319" spans="1:13" x14ac:dyDescent="0.35">
      <c r="A319">
        <v>20317</v>
      </c>
      <c r="B319" t="s">
        <v>716</v>
      </c>
      <c r="C319" t="s">
        <v>40</v>
      </c>
      <c r="D319" t="s">
        <v>41</v>
      </c>
      <c r="E319" t="s">
        <v>166</v>
      </c>
      <c r="F319" t="s">
        <v>17</v>
      </c>
      <c r="G319" t="s">
        <v>76</v>
      </c>
      <c r="H319">
        <v>5</v>
      </c>
      <c r="I319" t="s">
        <v>915</v>
      </c>
      <c r="J319" t="s">
        <v>916</v>
      </c>
      <c r="L319" t="s">
        <v>60</v>
      </c>
      <c r="M319" t="s">
        <v>21</v>
      </c>
    </row>
    <row r="320" spans="1:13" x14ac:dyDescent="0.35">
      <c r="A320">
        <v>20318</v>
      </c>
      <c r="B320" t="s">
        <v>696</v>
      </c>
      <c r="C320" t="s">
        <v>125</v>
      </c>
      <c r="D320" t="s">
        <v>170</v>
      </c>
      <c r="E320" t="s">
        <v>142</v>
      </c>
      <c r="F320" t="s">
        <v>395</v>
      </c>
      <c r="G320" t="s">
        <v>57</v>
      </c>
      <c r="H320">
        <v>18</v>
      </c>
      <c r="I320" t="s">
        <v>917</v>
      </c>
      <c r="J320" t="s">
        <v>918</v>
      </c>
      <c r="L320" t="s">
        <v>30</v>
      </c>
      <c r="M320" t="s">
        <v>21</v>
      </c>
    </row>
    <row r="321" spans="1:13" x14ac:dyDescent="0.35">
      <c r="A321">
        <v>20319</v>
      </c>
      <c r="B321" t="s">
        <v>180</v>
      </c>
      <c r="C321" t="s">
        <v>80</v>
      </c>
      <c r="D321" t="s">
        <v>24</v>
      </c>
      <c r="E321" t="s">
        <v>56</v>
      </c>
      <c r="F321" t="s">
        <v>17</v>
      </c>
      <c r="G321" t="s">
        <v>27</v>
      </c>
      <c r="H321">
        <v>20</v>
      </c>
      <c r="I321" t="s">
        <v>919</v>
      </c>
      <c r="J321" t="s">
        <v>920</v>
      </c>
      <c r="K321" t="s">
        <v>72</v>
      </c>
      <c r="L321" t="s">
        <v>60</v>
      </c>
      <c r="M321" t="s">
        <v>21</v>
      </c>
    </row>
    <row r="322" spans="1:13" x14ac:dyDescent="0.35">
      <c r="A322">
        <v>20320</v>
      </c>
      <c r="B322" t="s">
        <v>346</v>
      </c>
      <c r="C322" t="s">
        <v>118</v>
      </c>
      <c r="D322" t="s">
        <v>15</v>
      </c>
      <c r="E322" t="s">
        <v>101</v>
      </c>
      <c r="F322" t="s">
        <v>17</v>
      </c>
      <c r="G322" t="s">
        <v>18</v>
      </c>
      <c r="H322">
        <v>22</v>
      </c>
      <c r="I322" t="s">
        <v>921</v>
      </c>
      <c r="J322" t="s">
        <v>922</v>
      </c>
      <c r="K322" t="s">
        <v>72</v>
      </c>
      <c r="L322" t="s">
        <v>60</v>
      </c>
      <c r="M322" t="s">
        <v>21</v>
      </c>
    </row>
    <row r="323" spans="1:13" x14ac:dyDescent="0.35">
      <c r="A323">
        <v>20321</v>
      </c>
      <c r="B323" t="s">
        <v>901</v>
      </c>
      <c r="C323" t="s">
        <v>118</v>
      </c>
      <c r="D323" t="s">
        <v>24</v>
      </c>
      <c r="E323" t="s">
        <v>107</v>
      </c>
      <c r="F323" t="s">
        <v>26</v>
      </c>
      <c r="G323" t="s">
        <v>57</v>
      </c>
      <c r="H323">
        <v>8</v>
      </c>
      <c r="I323" t="s">
        <v>923</v>
      </c>
      <c r="J323" t="s">
        <v>924</v>
      </c>
      <c r="K323" t="s">
        <v>72</v>
      </c>
      <c r="L323" t="s">
        <v>60</v>
      </c>
      <c r="M323" t="s">
        <v>21</v>
      </c>
    </row>
    <row r="324" spans="1:13" x14ac:dyDescent="0.35">
      <c r="A324">
        <v>20322</v>
      </c>
      <c r="B324" t="s">
        <v>31</v>
      </c>
      <c r="C324" t="s">
        <v>14</v>
      </c>
      <c r="D324" t="s">
        <v>24</v>
      </c>
      <c r="E324" t="s">
        <v>85</v>
      </c>
      <c r="F324" t="s">
        <v>17</v>
      </c>
      <c r="G324" t="s">
        <v>76</v>
      </c>
      <c r="H324">
        <v>15</v>
      </c>
      <c r="I324" t="s">
        <v>925</v>
      </c>
      <c r="J324" t="s">
        <v>926</v>
      </c>
      <c r="L324" t="s">
        <v>60</v>
      </c>
      <c r="M324" t="s">
        <v>21</v>
      </c>
    </row>
    <row r="325" spans="1:13" x14ac:dyDescent="0.35">
      <c r="A325">
        <v>20323</v>
      </c>
      <c r="B325" t="s">
        <v>927</v>
      </c>
      <c r="C325" t="s">
        <v>40</v>
      </c>
      <c r="D325" t="s">
        <v>41</v>
      </c>
      <c r="E325" t="s">
        <v>42</v>
      </c>
      <c r="F325" t="s">
        <v>17</v>
      </c>
      <c r="G325" t="s">
        <v>43</v>
      </c>
      <c r="H325">
        <v>15</v>
      </c>
      <c r="I325" t="s">
        <v>928</v>
      </c>
      <c r="J325" t="s">
        <v>929</v>
      </c>
      <c r="L325" t="s">
        <v>30</v>
      </c>
      <c r="M325" t="s">
        <v>21</v>
      </c>
    </row>
    <row r="326" spans="1:13" x14ac:dyDescent="0.35">
      <c r="A326">
        <v>20324</v>
      </c>
      <c r="B326" t="s">
        <v>47</v>
      </c>
      <c r="C326" t="s">
        <v>225</v>
      </c>
      <c r="D326" t="s">
        <v>113</v>
      </c>
      <c r="E326" t="s">
        <v>34</v>
      </c>
      <c r="F326" t="s">
        <v>26</v>
      </c>
      <c r="G326" t="s">
        <v>76</v>
      </c>
      <c r="H326">
        <v>16</v>
      </c>
      <c r="I326" t="s">
        <v>930</v>
      </c>
      <c r="J326" t="s">
        <v>931</v>
      </c>
      <c r="K326" t="s">
        <v>72</v>
      </c>
      <c r="L326" t="s">
        <v>30</v>
      </c>
      <c r="M326" t="s">
        <v>151</v>
      </c>
    </row>
    <row r="327" spans="1:13" x14ac:dyDescent="0.35">
      <c r="A327">
        <v>20325</v>
      </c>
      <c r="B327" t="s">
        <v>212</v>
      </c>
      <c r="C327" t="s">
        <v>243</v>
      </c>
      <c r="D327" t="s">
        <v>89</v>
      </c>
      <c r="E327" t="s">
        <v>50</v>
      </c>
      <c r="F327" t="s">
        <v>17</v>
      </c>
      <c r="G327" t="s">
        <v>27</v>
      </c>
      <c r="H327">
        <v>12</v>
      </c>
      <c r="I327" t="s">
        <v>932</v>
      </c>
      <c r="J327" t="s">
        <v>933</v>
      </c>
      <c r="L327" t="s">
        <v>30</v>
      </c>
      <c r="M327" t="s">
        <v>21</v>
      </c>
    </row>
    <row r="328" spans="1:13" x14ac:dyDescent="0.35">
      <c r="A328">
        <v>20326</v>
      </c>
      <c r="B328" t="s">
        <v>165</v>
      </c>
      <c r="C328" t="s">
        <v>96</v>
      </c>
      <c r="D328" t="s">
        <v>49</v>
      </c>
      <c r="E328" t="s">
        <v>101</v>
      </c>
      <c r="F328" t="s">
        <v>17</v>
      </c>
      <c r="G328" t="s">
        <v>35</v>
      </c>
      <c r="H328">
        <v>-1</v>
      </c>
      <c r="J328" t="s">
        <v>934</v>
      </c>
      <c r="L328" t="s">
        <v>30</v>
      </c>
      <c r="M328" t="s">
        <v>21</v>
      </c>
    </row>
    <row r="329" spans="1:13" x14ac:dyDescent="0.35">
      <c r="A329">
        <v>20327</v>
      </c>
      <c r="B329" t="s">
        <v>593</v>
      </c>
      <c r="C329" t="s">
        <v>32</v>
      </c>
      <c r="D329" t="s">
        <v>68</v>
      </c>
      <c r="E329" t="s">
        <v>25</v>
      </c>
      <c r="F329" t="s">
        <v>26</v>
      </c>
      <c r="G329" t="s">
        <v>35</v>
      </c>
      <c r="H329">
        <v>17</v>
      </c>
      <c r="I329" t="s">
        <v>935</v>
      </c>
      <c r="J329" t="s">
        <v>936</v>
      </c>
      <c r="K329" t="s">
        <v>72</v>
      </c>
      <c r="L329" t="s">
        <v>60</v>
      </c>
      <c r="M329" t="s">
        <v>21</v>
      </c>
    </row>
    <row r="330" spans="1:13" x14ac:dyDescent="0.35">
      <c r="A330">
        <v>20328</v>
      </c>
      <c r="B330" t="s">
        <v>478</v>
      </c>
      <c r="C330" t="s">
        <v>243</v>
      </c>
      <c r="D330" t="s">
        <v>113</v>
      </c>
      <c r="E330" t="s">
        <v>107</v>
      </c>
      <c r="F330" t="s">
        <v>26</v>
      </c>
      <c r="G330" t="s">
        <v>35</v>
      </c>
      <c r="H330">
        <v>13</v>
      </c>
      <c r="I330" t="s">
        <v>90</v>
      </c>
      <c r="J330" t="s">
        <v>937</v>
      </c>
      <c r="L330" t="s">
        <v>60</v>
      </c>
      <c r="M330" t="s">
        <v>151</v>
      </c>
    </row>
    <row r="331" spans="1:13" x14ac:dyDescent="0.35">
      <c r="A331">
        <v>20329</v>
      </c>
      <c r="B331" t="s">
        <v>621</v>
      </c>
      <c r="C331" t="s">
        <v>118</v>
      </c>
      <c r="D331" t="s">
        <v>177</v>
      </c>
      <c r="E331" t="s">
        <v>16</v>
      </c>
      <c r="F331" t="s">
        <v>17</v>
      </c>
      <c r="G331" t="s">
        <v>57</v>
      </c>
      <c r="H331">
        <v>4</v>
      </c>
      <c r="I331" t="s">
        <v>938</v>
      </c>
      <c r="J331" t="s">
        <v>939</v>
      </c>
      <c r="M331" t="s">
        <v>21</v>
      </c>
    </row>
    <row r="332" spans="1:13" x14ac:dyDescent="0.35">
      <c r="A332">
        <v>20330</v>
      </c>
      <c r="B332" t="s">
        <v>434</v>
      </c>
      <c r="C332" t="s">
        <v>125</v>
      </c>
      <c r="D332" t="s">
        <v>170</v>
      </c>
      <c r="E332" t="s">
        <v>107</v>
      </c>
      <c r="F332" t="s">
        <v>26</v>
      </c>
      <c r="G332" t="s">
        <v>43</v>
      </c>
      <c r="H332">
        <v>11</v>
      </c>
      <c r="I332" t="s">
        <v>940</v>
      </c>
      <c r="J332" t="s">
        <v>941</v>
      </c>
      <c r="L332" t="s">
        <v>60</v>
      </c>
      <c r="M332" t="s">
        <v>21</v>
      </c>
    </row>
    <row r="333" spans="1:13" x14ac:dyDescent="0.35">
      <c r="A333">
        <v>20331</v>
      </c>
      <c r="B333" t="s">
        <v>942</v>
      </c>
      <c r="C333" t="s">
        <v>23</v>
      </c>
      <c r="D333" t="s">
        <v>15</v>
      </c>
      <c r="E333" t="s">
        <v>25</v>
      </c>
      <c r="F333" t="s">
        <v>26</v>
      </c>
      <c r="G333" t="s">
        <v>18</v>
      </c>
      <c r="H333">
        <v>19</v>
      </c>
      <c r="I333" t="s">
        <v>943</v>
      </c>
      <c r="J333" t="s">
        <v>944</v>
      </c>
      <c r="L333" t="s">
        <v>30</v>
      </c>
      <c r="M333" t="s">
        <v>21</v>
      </c>
    </row>
    <row r="334" spans="1:13" x14ac:dyDescent="0.35">
      <c r="A334">
        <v>20332</v>
      </c>
      <c r="B334" t="s">
        <v>945</v>
      </c>
      <c r="C334" t="s">
        <v>106</v>
      </c>
      <c r="D334" t="s">
        <v>314</v>
      </c>
      <c r="E334" t="s">
        <v>56</v>
      </c>
      <c r="F334" t="s">
        <v>17</v>
      </c>
      <c r="G334" t="s">
        <v>76</v>
      </c>
      <c r="H334">
        <v>9</v>
      </c>
      <c r="I334" t="s">
        <v>946</v>
      </c>
      <c r="J334" t="s">
        <v>947</v>
      </c>
      <c r="K334" t="s">
        <v>116</v>
      </c>
      <c r="L334" t="s">
        <v>38</v>
      </c>
      <c r="M334" t="s">
        <v>21</v>
      </c>
    </row>
    <row r="335" spans="1:13" x14ac:dyDescent="0.35">
      <c r="A335">
        <v>20333</v>
      </c>
      <c r="B335" t="s">
        <v>948</v>
      </c>
      <c r="C335" t="s">
        <v>74</v>
      </c>
      <c r="D335" t="s">
        <v>177</v>
      </c>
      <c r="E335" t="s">
        <v>34</v>
      </c>
      <c r="F335" t="s">
        <v>26</v>
      </c>
      <c r="G335" t="s">
        <v>27</v>
      </c>
      <c r="H335">
        <v>19</v>
      </c>
      <c r="I335" t="s">
        <v>949</v>
      </c>
      <c r="J335" t="s">
        <v>950</v>
      </c>
      <c r="K335" t="s">
        <v>72</v>
      </c>
      <c r="L335" t="s">
        <v>60</v>
      </c>
      <c r="M335" t="s">
        <v>21</v>
      </c>
    </row>
    <row r="336" spans="1:13" x14ac:dyDescent="0.35">
      <c r="A336">
        <v>20334</v>
      </c>
      <c r="B336" t="s">
        <v>854</v>
      </c>
      <c r="C336" t="s">
        <v>118</v>
      </c>
      <c r="D336" t="s">
        <v>24</v>
      </c>
      <c r="E336" t="s">
        <v>42</v>
      </c>
      <c r="F336" t="s">
        <v>17</v>
      </c>
      <c r="G336" t="s">
        <v>35</v>
      </c>
      <c r="H336">
        <v>8</v>
      </c>
      <c r="I336" t="s">
        <v>951</v>
      </c>
      <c r="J336" t="s">
        <v>952</v>
      </c>
      <c r="K336" t="s">
        <v>220</v>
      </c>
      <c r="L336" t="s">
        <v>30</v>
      </c>
      <c r="M336" t="s">
        <v>21</v>
      </c>
    </row>
    <row r="337" spans="1:13" x14ac:dyDescent="0.35">
      <c r="A337">
        <v>20335</v>
      </c>
      <c r="B337" t="s">
        <v>381</v>
      </c>
      <c r="C337" t="s">
        <v>225</v>
      </c>
      <c r="D337" t="s">
        <v>113</v>
      </c>
      <c r="E337" t="s">
        <v>34</v>
      </c>
      <c r="F337" t="s">
        <v>26</v>
      </c>
      <c r="G337" t="s">
        <v>57</v>
      </c>
      <c r="H337">
        <v>20</v>
      </c>
      <c r="I337" t="s">
        <v>953</v>
      </c>
      <c r="J337" t="s">
        <v>954</v>
      </c>
      <c r="L337" t="s">
        <v>30</v>
      </c>
      <c r="M337" t="s">
        <v>21</v>
      </c>
    </row>
    <row r="338" spans="1:13" x14ac:dyDescent="0.35">
      <c r="A338">
        <v>20336</v>
      </c>
      <c r="B338" t="s">
        <v>955</v>
      </c>
      <c r="C338" t="s">
        <v>125</v>
      </c>
      <c r="D338" t="s">
        <v>170</v>
      </c>
      <c r="E338" t="s">
        <v>56</v>
      </c>
      <c r="F338" t="s">
        <v>17</v>
      </c>
      <c r="G338" t="s">
        <v>18</v>
      </c>
      <c r="H338">
        <v>13</v>
      </c>
      <c r="I338" t="s">
        <v>956</v>
      </c>
      <c r="J338" t="s">
        <v>957</v>
      </c>
      <c r="L338" t="s">
        <v>30</v>
      </c>
      <c r="M338" t="s">
        <v>21</v>
      </c>
    </row>
    <row r="339" spans="1:13" x14ac:dyDescent="0.35">
      <c r="A339">
        <v>20337</v>
      </c>
      <c r="B339" t="s">
        <v>958</v>
      </c>
      <c r="C339" t="s">
        <v>23</v>
      </c>
      <c r="D339" t="s">
        <v>24</v>
      </c>
      <c r="E339" t="s">
        <v>42</v>
      </c>
      <c r="F339" t="s">
        <v>17</v>
      </c>
      <c r="G339" t="s">
        <v>57</v>
      </c>
      <c r="H339">
        <v>1</v>
      </c>
      <c r="I339" t="s">
        <v>959</v>
      </c>
      <c r="J339" t="s">
        <v>960</v>
      </c>
      <c r="K339" t="s">
        <v>72</v>
      </c>
      <c r="L339" t="s">
        <v>30</v>
      </c>
      <c r="M339" t="s">
        <v>21</v>
      </c>
    </row>
    <row r="340" spans="1:13" x14ac:dyDescent="0.35">
      <c r="A340">
        <v>20338</v>
      </c>
      <c r="B340" t="s">
        <v>322</v>
      </c>
      <c r="C340" t="s">
        <v>62</v>
      </c>
      <c r="D340" t="s">
        <v>55</v>
      </c>
      <c r="E340" t="s">
        <v>56</v>
      </c>
      <c r="F340" t="s">
        <v>187</v>
      </c>
      <c r="G340" t="s">
        <v>43</v>
      </c>
      <c r="H340">
        <v>14</v>
      </c>
      <c r="I340" t="s">
        <v>961</v>
      </c>
      <c r="J340" t="s">
        <v>962</v>
      </c>
      <c r="L340" t="s">
        <v>60</v>
      </c>
      <c r="M340" t="s">
        <v>21</v>
      </c>
    </row>
    <row r="341" spans="1:13" x14ac:dyDescent="0.35">
      <c r="A341">
        <v>20339</v>
      </c>
      <c r="B341" t="s">
        <v>963</v>
      </c>
      <c r="C341" t="s">
        <v>243</v>
      </c>
      <c r="D341" t="s">
        <v>113</v>
      </c>
      <c r="E341" t="s">
        <v>85</v>
      </c>
      <c r="F341" t="s">
        <v>17</v>
      </c>
      <c r="G341" t="s">
        <v>18</v>
      </c>
      <c r="H341">
        <v>24</v>
      </c>
      <c r="I341" t="s">
        <v>964</v>
      </c>
      <c r="J341" t="s">
        <v>965</v>
      </c>
      <c r="K341" t="s">
        <v>116</v>
      </c>
      <c r="L341" t="s">
        <v>60</v>
      </c>
      <c r="M341" t="s">
        <v>21</v>
      </c>
    </row>
    <row r="342" spans="1:13" x14ac:dyDescent="0.35">
      <c r="A342">
        <v>20340</v>
      </c>
      <c r="B342" t="s">
        <v>966</v>
      </c>
      <c r="C342" t="s">
        <v>96</v>
      </c>
      <c r="D342" t="s">
        <v>49</v>
      </c>
      <c r="E342" t="s">
        <v>142</v>
      </c>
      <c r="F342" t="s">
        <v>17</v>
      </c>
      <c r="G342" t="s">
        <v>57</v>
      </c>
      <c r="H342">
        <v>15</v>
      </c>
      <c r="I342" t="s">
        <v>967</v>
      </c>
      <c r="J342" t="s">
        <v>968</v>
      </c>
      <c r="L342" t="s">
        <v>60</v>
      </c>
      <c r="M342" t="s">
        <v>21</v>
      </c>
    </row>
    <row r="343" spans="1:13" x14ac:dyDescent="0.35">
      <c r="A343">
        <v>20341</v>
      </c>
      <c r="B343" t="s">
        <v>492</v>
      </c>
      <c r="C343" t="s">
        <v>140</v>
      </c>
      <c r="D343" t="s">
        <v>33</v>
      </c>
      <c r="E343" t="s">
        <v>50</v>
      </c>
      <c r="F343" t="s">
        <v>187</v>
      </c>
      <c r="G343" t="s">
        <v>57</v>
      </c>
      <c r="H343">
        <v>18</v>
      </c>
      <c r="I343" t="s">
        <v>683</v>
      </c>
      <c r="J343" t="s">
        <v>969</v>
      </c>
      <c r="L343" t="s">
        <v>60</v>
      </c>
      <c r="M343" t="s">
        <v>21</v>
      </c>
    </row>
    <row r="344" spans="1:13" x14ac:dyDescent="0.35">
      <c r="A344">
        <v>20342</v>
      </c>
      <c r="B344" t="s">
        <v>79</v>
      </c>
      <c r="C344" t="s">
        <v>40</v>
      </c>
      <c r="D344" t="s">
        <v>121</v>
      </c>
      <c r="E344" t="s">
        <v>142</v>
      </c>
      <c r="F344" t="s">
        <v>17</v>
      </c>
      <c r="G344" t="s">
        <v>76</v>
      </c>
      <c r="H344">
        <v>4</v>
      </c>
      <c r="I344" t="s">
        <v>970</v>
      </c>
      <c r="J344" t="s">
        <v>971</v>
      </c>
      <c r="K344" t="s">
        <v>299</v>
      </c>
      <c r="L344" t="s">
        <v>30</v>
      </c>
      <c r="M344" t="s">
        <v>21</v>
      </c>
    </row>
    <row r="345" spans="1:13" x14ac:dyDescent="0.35">
      <c r="A345">
        <v>20343</v>
      </c>
      <c r="B345" t="s">
        <v>408</v>
      </c>
      <c r="C345" t="s">
        <v>118</v>
      </c>
      <c r="D345" t="s">
        <v>75</v>
      </c>
      <c r="E345" t="s">
        <v>34</v>
      </c>
      <c r="F345" t="s">
        <v>126</v>
      </c>
      <c r="G345" t="s">
        <v>27</v>
      </c>
      <c r="H345">
        <v>17</v>
      </c>
      <c r="I345" t="s">
        <v>972</v>
      </c>
      <c r="J345" t="s">
        <v>973</v>
      </c>
      <c r="L345" t="s">
        <v>60</v>
      </c>
      <c r="M345" t="s">
        <v>21</v>
      </c>
    </row>
    <row r="346" spans="1:13" x14ac:dyDescent="0.35">
      <c r="A346">
        <v>20344</v>
      </c>
      <c r="B346" t="s">
        <v>974</v>
      </c>
      <c r="C346" t="s">
        <v>96</v>
      </c>
      <c r="D346" t="s">
        <v>49</v>
      </c>
      <c r="E346" t="s">
        <v>69</v>
      </c>
      <c r="F346" t="s">
        <v>26</v>
      </c>
      <c r="G346" t="s">
        <v>43</v>
      </c>
      <c r="H346">
        <v>14</v>
      </c>
      <c r="I346" t="s">
        <v>975</v>
      </c>
      <c r="J346" t="s">
        <v>976</v>
      </c>
      <c r="M346" t="s">
        <v>21</v>
      </c>
    </row>
    <row r="347" spans="1:13" x14ac:dyDescent="0.35">
      <c r="A347">
        <v>20345</v>
      </c>
      <c r="B347" t="s">
        <v>452</v>
      </c>
      <c r="C347" t="s">
        <v>84</v>
      </c>
      <c r="D347" t="s">
        <v>170</v>
      </c>
      <c r="E347" t="s">
        <v>56</v>
      </c>
      <c r="F347" t="s">
        <v>395</v>
      </c>
      <c r="G347" t="s">
        <v>35</v>
      </c>
      <c r="H347">
        <v>14</v>
      </c>
      <c r="I347" t="s">
        <v>977</v>
      </c>
      <c r="J347" t="s">
        <v>978</v>
      </c>
      <c r="K347" t="s">
        <v>104</v>
      </c>
      <c r="L347" t="s">
        <v>60</v>
      </c>
      <c r="M347" t="s">
        <v>21</v>
      </c>
    </row>
    <row r="348" spans="1:13" x14ac:dyDescent="0.35">
      <c r="A348">
        <v>20346</v>
      </c>
      <c r="B348" t="s">
        <v>221</v>
      </c>
      <c r="C348" t="s">
        <v>652</v>
      </c>
      <c r="D348" t="s">
        <v>121</v>
      </c>
      <c r="E348" t="s">
        <v>142</v>
      </c>
      <c r="F348" t="s">
        <v>17</v>
      </c>
      <c r="G348" t="s">
        <v>35</v>
      </c>
      <c r="H348">
        <v>5</v>
      </c>
      <c r="I348" t="s">
        <v>979</v>
      </c>
      <c r="J348" t="s">
        <v>980</v>
      </c>
      <c r="L348" t="s">
        <v>30</v>
      </c>
      <c r="M348" t="s">
        <v>21</v>
      </c>
    </row>
    <row r="349" spans="1:13" x14ac:dyDescent="0.35">
      <c r="A349">
        <v>20347</v>
      </c>
      <c r="B349" t="s">
        <v>981</v>
      </c>
      <c r="C349" t="s">
        <v>200</v>
      </c>
      <c r="D349" t="s">
        <v>89</v>
      </c>
      <c r="E349" t="s">
        <v>56</v>
      </c>
      <c r="F349" t="s">
        <v>17</v>
      </c>
      <c r="G349" t="s">
        <v>35</v>
      </c>
      <c r="H349">
        <v>18</v>
      </c>
      <c r="I349" t="s">
        <v>982</v>
      </c>
      <c r="J349" t="s">
        <v>983</v>
      </c>
      <c r="K349" t="s">
        <v>72</v>
      </c>
      <c r="L349" t="s">
        <v>30</v>
      </c>
      <c r="M349" t="s">
        <v>21</v>
      </c>
    </row>
    <row r="350" spans="1:13" x14ac:dyDescent="0.35">
      <c r="A350">
        <v>20348</v>
      </c>
      <c r="B350" t="s">
        <v>203</v>
      </c>
      <c r="C350" t="s">
        <v>14</v>
      </c>
      <c r="D350" t="s">
        <v>177</v>
      </c>
      <c r="E350" t="s">
        <v>107</v>
      </c>
      <c r="F350" t="s">
        <v>26</v>
      </c>
      <c r="G350" t="s">
        <v>18</v>
      </c>
      <c r="H350">
        <v>19</v>
      </c>
      <c r="I350" t="s">
        <v>984</v>
      </c>
      <c r="J350" t="s">
        <v>985</v>
      </c>
      <c r="L350" t="s">
        <v>60</v>
      </c>
      <c r="M350" t="s">
        <v>21</v>
      </c>
    </row>
    <row r="351" spans="1:13" x14ac:dyDescent="0.35">
      <c r="A351">
        <v>20349</v>
      </c>
      <c r="B351" t="s">
        <v>317</v>
      </c>
      <c r="C351" t="s">
        <v>106</v>
      </c>
      <c r="D351" t="s">
        <v>49</v>
      </c>
      <c r="E351" t="s">
        <v>69</v>
      </c>
      <c r="F351" t="s">
        <v>26</v>
      </c>
      <c r="G351" t="s">
        <v>76</v>
      </c>
      <c r="H351">
        <v>15</v>
      </c>
      <c r="I351" t="s">
        <v>986</v>
      </c>
      <c r="J351" t="s">
        <v>987</v>
      </c>
      <c r="L351" t="s">
        <v>30</v>
      </c>
      <c r="M351" t="s">
        <v>21</v>
      </c>
    </row>
  </sheetData>
  <autoFilter ref="A1:M351" xr:uid="{00000000-0001-0000-01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5"/>
  <sheetViews>
    <sheetView workbookViewId="0">
      <pane ySplit="1" topLeftCell="A35" activePane="bottomLeft" state="frozen"/>
      <selection pane="bottomLeft" activeCell="D9" sqref="D9"/>
    </sheetView>
  </sheetViews>
  <sheetFormatPr defaultRowHeight="14.5" x14ac:dyDescent="0.35"/>
  <cols>
    <col min="1" max="1" width="18" customWidth="1"/>
    <col min="2" max="2" width="48" customWidth="1"/>
    <col min="3" max="3" width="18" customWidth="1"/>
    <col min="4" max="4" width="54" customWidth="1"/>
  </cols>
  <sheetData>
    <row r="1" spans="1:4" x14ac:dyDescent="0.35">
      <c r="A1" s="2" t="s">
        <v>988</v>
      </c>
      <c r="B1" s="2" t="s">
        <v>989</v>
      </c>
      <c r="C1" s="2" t="s">
        <v>990</v>
      </c>
      <c r="D1" s="2" t="s">
        <v>991</v>
      </c>
    </row>
    <row r="2" spans="1:4" x14ac:dyDescent="0.35">
      <c r="A2" t="s">
        <v>0</v>
      </c>
      <c r="B2" t="s">
        <v>992</v>
      </c>
      <c r="C2" t="s">
        <v>993</v>
      </c>
      <c r="D2" t="s">
        <v>994</v>
      </c>
    </row>
    <row r="3" spans="1:4" x14ac:dyDescent="0.35">
      <c r="A3" t="s">
        <v>1</v>
      </c>
      <c r="B3" t="s">
        <v>995</v>
      </c>
      <c r="C3" t="s">
        <v>1</v>
      </c>
      <c r="D3" t="s">
        <v>996</v>
      </c>
    </row>
    <row r="4" spans="1:4" x14ac:dyDescent="0.35">
      <c r="A4" t="s">
        <v>2</v>
      </c>
      <c r="B4" t="s">
        <v>997</v>
      </c>
      <c r="C4" t="s">
        <v>998</v>
      </c>
      <c r="D4" t="s">
        <v>999</v>
      </c>
    </row>
    <row r="5" spans="1:4" x14ac:dyDescent="0.35">
      <c r="A5" t="s">
        <v>3</v>
      </c>
      <c r="B5" t="s">
        <v>1000</v>
      </c>
      <c r="C5" t="s">
        <v>998</v>
      </c>
      <c r="D5" t="s">
        <v>1001</v>
      </c>
    </row>
    <row r="6" spans="1:4" x14ac:dyDescent="0.35">
      <c r="A6" t="s">
        <v>4</v>
      </c>
      <c r="B6" t="s">
        <v>1002</v>
      </c>
      <c r="C6" t="s">
        <v>998</v>
      </c>
      <c r="D6" t="s">
        <v>1003</v>
      </c>
    </row>
    <row r="7" spans="1:4" x14ac:dyDescent="0.35">
      <c r="A7" t="s">
        <v>5</v>
      </c>
      <c r="B7" t="s">
        <v>1004</v>
      </c>
      <c r="C7" t="s">
        <v>998</v>
      </c>
      <c r="D7" t="s">
        <v>1005</v>
      </c>
    </row>
    <row r="8" spans="1:4" x14ac:dyDescent="0.35">
      <c r="A8" t="s">
        <v>6</v>
      </c>
      <c r="B8" t="s">
        <v>1006</v>
      </c>
      <c r="C8" t="s">
        <v>998</v>
      </c>
      <c r="D8" t="s">
        <v>1007</v>
      </c>
    </row>
    <row r="9" spans="1:4" x14ac:dyDescent="0.35">
      <c r="A9" t="s">
        <v>7</v>
      </c>
      <c r="B9" t="s">
        <v>1008</v>
      </c>
      <c r="C9" t="s">
        <v>1009</v>
      </c>
      <c r="D9" t="s">
        <v>1010</v>
      </c>
    </row>
    <row r="10" spans="1:4" x14ac:dyDescent="0.35">
      <c r="A10" t="s">
        <v>8</v>
      </c>
      <c r="B10" t="s">
        <v>1011</v>
      </c>
      <c r="C10" t="s">
        <v>1012</v>
      </c>
      <c r="D10" t="s">
        <v>1013</v>
      </c>
    </row>
    <row r="11" spans="1:4" x14ac:dyDescent="0.35">
      <c r="A11" t="s">
        <v>9</v>
      </c>
      <c r="B11" t="s">
        <v>1014</v>
      </c>
      <c r="C11" t="s">
        <v>1012</v>
      </c>
      <c r="D11" t="s">
        <v>1015</v>
      </c>
    </row>
    <row r="12" spans="1:4" x14ac:dyDescent="0.35">
      <c r="A12" t="s">
        <v>10</v>
      </c>
      <c r="B12" t="s">
        <v>1016</v>
      </c>
      <c r="C12" t="s">
        <v>998</v>
      </c>
      <c r="D12" t="s">
        <v>1017</v>
      </c>
    </row>
    <row r="13" spans="1:4" x14ac:dyDescent="0.35">
      <c r="A13" t="s">
        <v>11</v>
      </c>
      <c r="B13" t="s">
        <v>1018</v>
      </c>
      <c r="C13" t="s">
        <v>998</v>
      </c>
      <c r="D13" t="s">
        <v>1019</v>
      </c>
    </row>
    <row r="14" spans="1:4" x14ac:dyDescent="0.35">
      <c r="A14" t="s">
        <v>12</v>
      </c>
      <c r="B14" t="s">
        <v>1020</v>
      </c>
      <c r="C14" t="s">
        <v>998</v>
      </c>
      <c r="D14" t="s">
        <v>1021</v>
      </c>
    </row>
    <row r="16" spans="1:4" x14ac:dyDescent="0.35">
      <c r="A16" t="s">
        <v>1022</v>
      </c>
    </row>
    <row r="17" spans="1:4" x14ac:dyDescent="0.35">
      <c r="A17" t="s">
        <v>4</v>
      </c>
      <c r="B17" t="s">
        <v>5</v>
      </c>
      <c r="C17" t="s">
        <v>1023</v>
      </c>
      <c r="D17" t="s">
        <v>1024</v>
      </c>
    </row>
    <row r="18" spans="1:4" x14ac:dyDescent="0.35">
      <c r="A18" t="s">
        <v>56</v>
      </c>
      <c r="B18" t="s">
        <v>17</v>
      </c>
      <c r="C18">
        <v>850</v>
      </c>
      <c r="D18" t="s">
        <v>1025</v>
      </c>
    </row>
    <row r="19" spans="1:4" x14ac:dyDescent="0.35">
      <c r="A19" t="s">
        <v>50</v>
      </c>
      <c r="B19" t="s">
        <v>17</v>
      </c>
      <c r="C19">
        <v>450</v>
      </c>
      <c r="D19" t="s">
        <v>1025</v>
      </c>
    </row>
    <row r="20" spans="1:4" x14ac:dyDescent="0.35">
      <c r="A20" t="s">
        <v>42</v>
      </c>
      <c r="B20" t="s">
        <v>17</v>
      </c>
      <c r="C20">
        <v>200</v>
      </c>
      <c r="D20" t="s">
        <v>1025</v>
      </c>
    </row>
    <row r="21" spans="1:4" x14ac:dyDescent="0.35">
      <c r="A21" t="s">
        <v>16</v>
      </c>
      <c r="B21" t="s">
        <v>17</v>
      </c>
      <c r="C21">
        <v>35</v>
      </c>
      <c r="D21" t="s">
        <v>1025</v>
      </c>
    </row>
    <row r="22" spans="1:4" x14ac:dyDescent="0.35">
      <c r="A22" t="s">
        <v>166</v>
      </c>
      <c r="B22" t="s">
        <v>17</v>
      </c>
      <c r="C22">
        <v>25</v>
      </c>
      <c r="D22" t="s">
        <v>1025</v>
      </c>
    </row>
    <row r="23" spans="1:4" x14ac:dyDescent="0.35">
      <c r="A23" t="s">
        <v>25</v>
      </c>
      <c r="B23" t="s">
        <v>26</v>
      </c>
      <c r="C23">
        <v>120</v>
      </c>
      <c r="D23" t="s">
        <v>1025</v>
      </c>
    </row>
    <row r="24" spans="1:4" x14ac:dyDescent="0.35">
      <c r="A24" t="s">
        <v>107</v>
      </c>
      <c r="B24" t="s">
        <v>26</v>
      </c>
      <c r="C24">
        <v>280</v>
      </c>
      <c r="D24" t="s">
        <v>1025</v>
      </c>
    </row>
    <row r="25" spans="1:4" x14ac:dyDescent="0.35">
      <c r="A25" t="s">
        <v>69</v>
      </c>
      <c r="B25" t="s">
        <v>26</v>
      </c>
      <c r="C25">
        <v>35</v>
      </c>
      <c r="D25" t="s">
        <v>1025</v>
      </c>
    </row>
    <row r="26" spans="1:4" x14ac:dyDescent="0.35">
      <c r="A26" t="s">
        <v>85</v>
      </c>
      <c r="B26" t="s">
        <v>17</v>
      </c>
      <c r="C26">
        <v>65</v>
      </c>
      <c r="D26" t="s">
        <v>1025</v>
      </c>
    </row>
    <row r="27" spans="1:4" x14ac:dyDescent="0.35">
      <c r="A27" t="s">
        <v>101</v>
      </c>
      <c r="B27" t="s">
        <v>17</v>
      </c>
      <c r="C27">
        <v>140</v>
      </c>
      <c r="D27" t="s">
        <v>1025</v>
      </c>
    </row>
    <row r="28" spans="1:4" x14ac:dyDescent="0.35">
      <c r="A28" t="s">
        <v>34</v>
      </c>
      <c r="B28" t="s">
        <v>26</v>
      </c>
      <c r="C28">
        <v>420</v>
      </c>
      <c r="D28" t="s">
        <v>1025</v>
      </c>
    </row>
    <row r="29" spans="1:4" x14ac:dyDescent="0.35">
      <c r="A29" t="s">
        <v>142</v>
      </c>
      <c r="B29" t="s">
        <v>17</v>
      </c>
      <c r="C29">
        <v>180</v>
      </c>
      <c r="D29" t="s">
        <v>1025</v>
      </c>
    </row>
    <row r="31" spans="1:4" x14ac:dyDescent="0.35">
      <c r="A31" t="s">
        <v>1026</v>
      </c>
    </row>
    <row r="32" spans="1:4" x14ac:dyDescent="0.35">
      <c r="A32" s="2" t="s">
        <v>10</v>
      </c>
      <c r="B32" s="2" t="s">
        <v>989</v>
      </c>
      <c r="C32" s="2" t="s">
        <v>1027</v>
      </c>
      <c r="D32" s="2" t="s">
        <v>1028</v>
      </c>
    </row>
    <row r="33" spans="1:4" x14ac:dyDescent="0.35">
      <c r="A33" t="s">
        <v>72</v>
      </c>
      <c r="B33" t="s">
        <v>1029</v>
      </c>
      <c r="C33">
        <v>0.1</v>
      </c>
      <c r="D33" t="s">
        <v>1030</v>
      </c>
    </row>
    <row r="34" spans="1:4" x14ac:dyDescent="0.35">
      <c r="A34" t="s">
        <v>116</v>
      </c>
      <c r="B34" t="s">
        <v>1031</v>
      </c>
      <c r="C34">
        <v>0.2</v>
      </c>
      <c r="D34" t="s">
        <v>1032</v>
      </c>
    </row>
    <row r="35" spans="1:4" x14ac:dyDescent="0.35">
      <c r="A35" t="s">
        <v>104</v>
      </c>
      <c r="B35" t="s">
        <v>1033</v>
      </c>
      <c r="C35">
        <v>0.05</v>
      </c>
      <c r="D35" t="s">
        <v>1034</v>
      </c>
    </row>
    <row r="36" spans="1:4" x14ac:dyDescent="0.35">
      <c r="A36" t="s">
        <v>220</v>
      </c>
      <c r="B36" t="s">
        <v>1035</v>
      </c>
      <c r="C36">
        <v>0.15</v>
      </c>
      <c r="D36" t="s">
        <v>1036</v>
      </c>
    </row>
    <row r="38" spans="1:4" x14ac:dyDescent="0.35">
      <c r="A38" t="s">
        <v>1037</v>
      </c>
    </row>
    <row r="39" spans="1:4" x14ac:dyDescent="0.35">
      <c r="A39" s="2" t="s">
        <v>2</v>
      </c>
      <c r="B39" s="2" t="s">
        <v>1038</v>
      </c>
      <c r="C39" s="2"/>
    </row>
    <row r="40" spans="1:4" x14ac:dyDescent="0.35">
      <c r="A40" t="s">
        <v>23</v>
      </c>
      <c r="B40" t="s">
        <v>1039</v>
      </c>
    </row>
    <row r="41" spans="1:4" x14ac:dyDescent="0.35">
      <c r="A41" t="s">
        <v>100</v>
      </c>
      <c r="B41" t="s">
        <v>1040</v>
      </c>
    </row>
    <row r="42" spans="1:4" x14ac:dyDescent="0.35">
      <c r="A42" t="s">
        <v>225</v>
      </c>
      <c r="B42" t="s">
        <v>1041</v>
      </c>
    </row>
    <row r="43" spans="1:4" x14ac:dyDescent="0.35">
      <c r="A43" t="s">
        <v>652</v>
      </c>
      <c r="B43" t="s">
        <v>1042</v>
      </c>
    </row>
    <row r="44" spans="1:4" x14ac:dyDescent="0.35">
      <c r="A44" t="s">
        <v>96</v>
      </c>
      <c r="B44" t="s">
        <v>1043</v>
      </c>
    </row>
    <row r="45" spans="1:4" x14ac:dyDescent="0.35">
      <c r="A45" t="s">
        <v>84</v>
      </c>
      <c r="B45" t="s">
        <v>1044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D5B7-FAA1-48E6-8DBC-DA6EF53BBD2D}">
  <dimension ref="A1:T351"/>
  <sheetViews>
    <sheetView topLeftCell="A2" workbookViewId="0">
      <selection activeCell="C3" sqref="C3"/>
    </sheetView>
  </sheetViews>
  <sheetFormatPr defaultRowHeight="14.5" x14ac:dyDescent="0.35"/>
  <cols>
    <col min="2" max="2" width="13.54296875" customWidth="1"/>
    <col min="3" max="3" width="12.26953125" customWidth="1"/>
    <col min="6" max="6" width="13.90625" customWidth="1"/>
    <col min="10" max="10" width="13.453125" customWidth="1"/>
    <col min="12" max="12" width="13.08984375" customWidth="1"/>
    <col min="13" max="13" width="12.81640625" customWidth="1"/>
    <col min="18" max="18" width="11.54296875" customWidth="1"/>
    <col min="19" max="19" width="9.453125" customWidth="1"/>
    <col min="20" max="20" width="11.6328125" customWidth="1"/>
  </cols>
  <sheetData>
    <row r="1" spans="1:20" ht="29" x14ac:dyDescent="0.35">
      <c r="A1" s="3" t="s">
        <v>0</v>
      </c>
      <c r="B1" s="12" t="s">
        <v>1</v>
      </c>
      <c r="C1" s="13" t="s">
        <v>2</v>
      </c>
      <c r="D1" s="3" t="s">
        <v>3</v>
      </c>
      <c r="E1" s="3" t="s">
        <v>4</v>
      </c>
      <c r="F1" s="13" t="s">
        <v>5</v>
      </c>
      <c r="G1" s="3" t="s">
        <v>6</v>
      </c>
      <c r="H1" s="17" t="s">
        <v>7</v>
      </c>
      <c r="I1" s="14" t="s">
        <v>8</v>
      </c>
      <c r="J1" s="8" t="s">
        <v>9</v>
      </c>
      <c r="K1" s="8" t="s">
        <v>1062</v>
      </c>
      <c r="L1" s="13" t="s">
        <v>10</v>
      </c>
      <c r="M1" s="3" t="s">
        <v>11</v>
      </c>
      <c r="N1" s="3" t="s">
        <v>12</v>
      </c>
      <c r="O1" s="3" t="s">
        <v>1045</v>
      </c>
      <c r="P1" s="8" t="s">
        <v>1046</v>
      </c>
      <c r="Q1" s="15" t="s">
        <v>1057</v>
      </c>
      <c r="R1" s="8" t="s">
        <v>1073</v>
      </c>
      <c r="S1" s="3" t="s">
        <v>1059</v>
      </c>
      <c r="T1" t="s">
        <v>1075</v>
      </c>
    </row>
    <row r="2" spans="1:20" x14ac:dyDescent="0.35">
      <c r="A2">
        <v>20000</v>
      </c>
      <c r="B2" s="11">
        <v>45312</v>
      </c>
      <c r="C2" t="s">
        <v>23</v>
      </c>
      <c r="D2" t="s">
        <v>15</v>
      </c>
      <c r="E2" t="s">
        <v>16</v>
      </c>
      <c r="F2" t="s">
        <v>17</v>
      </c>
      <c r="G2" t="s">
        <v>18</v>
      </c>
      <c r="H2" s="18">
        <v>18</v>
      </c>
      <c r="I2" s="9">
        <v>31.72</v>
      </c>
      <c r="J2" s="9">
        <v>571</v>
      </c>
      <c r="K2" s="5" t="s">
        <v>20</v>
      </c>
      <c r="L2" t="s">
        <v>1056</v>
      </c>
      <c r="M2" t="s">
        <v>30</v>
      </c>
      <c r="N2" t="s">
        <v>21</v>
      </c>
      <c r="O2">
        <v>31.72</v>
      </c>
      <c r="P2" s="5">
        <v>570.96</v>
      </c>
      <c r="Q2" s="10">
        <v>0</v>
      </c>
      <c r="R2" s="19">
        <f>Table13[[#This Row],[Units]]*Table13[[#This Row],[UnitPrice]]*(1-Table13[[#This Row],[Discount Rate]])</f>
        <v>570.96</v>
      </c>
      <c r="S2" t="s">
        <v>1058</v>
      </c>
      <c r="T2">
        <f>IF(Table13[[#This Row],[Returned]]="N",0,1)</f>
        <v>0</v>
      </c>
    </row>
    <row r="3" spans="1:20" x14ac:dyDescent="0.35">
      <c r="A3">
        <v>20001</v>
      </c>
      <c r="B3" s="11">
        <v>45321</v>
      </c>
      <c r="C3" t="s">
        <v>23</v>
      </c>
      <c r="D3" t="s">
        <v>24</v>
      </c>
      <c r="E3" t="s">
        <v>25</v>
      </c>
      <c r="F3" t="s">
        <v>26</v>
      </c>
      <c r="G3" t="s">
        <v>27</v>
      </c>
      <c r="H3" s="18">
        <v>15</v>
      </c>
      <c r="I3" s="9">
        <v>131.35</v>
      </c>
      <c r="J3" s="9">
        <v>1970.32</v>
      </c>
      <c r="K3" s="5" t="s">
        <v>29</v>
      </c>
      <c r="L3" t="s">
        <v>1056</v>
      </c>
      <c r="M3" t="s">
        <v>30</v>
      </c>
      <c r="N3" t="s">
        <v>21</v>
      </c>
      <c r="O3">
        <v>131.35</v>
      </c>
      <c r="P3" s="5">
        <v>1970.25</v>
      </c>
      <c r="Q3" s="10">
        <v>0</v>
      </c>
      <c r="R3" s="19">
        <f>Table13[[#This Row],[Units]]*Table13[[#This Row],[UnitPrice]]*(1-Table13[[#This Row],[Discount Rate]])</f>
        <v>1970.25</v>
      </c>
      <c r="S3" t="s">
        <v>1058</v>
      </c>
      <c r="T3">
        <f>IF(Table13[[#This Row],[Returned]]="N",0,1)</f>
        <v>0</v>
      </c>
    </row>
    <row r="4" spans="1:20" x14ac:dyDescent="0.35">
      <c r="A4">
        <v>20002</v>
      </c>
      <c r="B4" s="11">
        <v>45326</v>
      </c>
      <c r="C4" t="s">
        <v>100</v>
      </c>
      <c r="D4" t="s">
        <v>33</v>
      </c>
      <c r="E4" t="s">
        <v>34</v>
      </c>
      <c r="F4" t="s">
        <v>26</v>
      </c>
      <c r="G4" t="s">
        <v>35</v>
      </c>
      <c r="H4" s="18">
        <v>6</v>
      </c>
      <c r="I4" s="9">
        <v>398.56</v>
      </c>
      <c r="J4" s="9">
        <v>2391.38</v>
      </c>
      <c r="K4" s="5" t="s">
        <v>37</v>
      </c>
      <c r="L4" t="s">
        <v>1056</v>
      </c>
      <c r="M4" t="s">
        <v>30</v>
      </c>
      <c r="N4" t="s">
        <v>21</v>
      </c>
      <c r="O4">
        <v>398.56</v>
      </c>
      <c r="P4" s="5">
        <v>2391.36</v>
      </c>
      <c r="Q4" s="10">
        <v>0</v>
      </c>
      <c r="R4" s="19">
        <f>Table13[[#This Row],[Units]]*Table13[[#This Row],[UnitPrice]]*(1-Table13[[#This Row],[Discount Rate]])</f>
        <v>2391.36</v>
      </c>
      <c r="S4" t="s">
        <v>1058</v>
      </c>
      <c r="T4">
        <f>IF(Table13[[#This Row],[Returned]]="N",0,1)</f>
        <v>0</v>
      </c>
    </row>
    <row r="5" spans="1:20" x14ac:dyDescent="0.35">
      <c r="A5">
        <v>20003</v>
      </c>
      <c r="B5" s="11">
        <v>45368</v>
      </c>
      <c r="C5" t="s">
        <v>652</v>
      </c>
      <c r="D5" t="s">
        <v>41</v>
      </c>
      <c r="E5" t="s">
        <v>42</v>
      </c>
      <c r="F5" t="s">
        <v>17</v>
      </c>
      <c r="G5" t="s">
        <v>43</v>
      </c>
      <c r="H5" s="18">
        <v>18</v>
      </c>
      <c r="I5" s="9">
        <v>209.88</v>
      </c>
      <c r="J5" s="9">
        <v>3211.17</v>
      </c>
      <c r="K5" s="5" t="s">
        <v>45</v>
      </c>
      <c r="L5" t="s">
        <v>220</v>
      </c>
      <c r="M5" t="s">
        <v>30</v>
      </c>
      <c r="N5" t="s">
        <v>21</v>
      </c>
      <c r="O5">
        <v>209.88</v>
      </c>
      <c r="P5" s="5">
        <v>3211.1640000000002</v>
      </c>
      <c r="Q5" s="10">
        <v>0.15</v>
      </c>
      <c r="R5" s="19">
        <f>Table13[[#This Row],[Units]]*Table13[[#This Row],[UnitPrice]]*(1-Table13[[#This Row],[Discount Rate]])</f>
        <v>3211.1640000000002</v>
      </c>
      <c r="S5" t="s">
        <v>1058</v>
      </c>
      <c r="T5">
        <f>IF(Table13[[#This Row],[Returned]]="N",0,1)</f>
        <v>0</v>
      </c>
    </row>
    <row r="6" spans="1:20" x14ac:dyDescent="0.35">
      <c r="A6">
        <v>20004</v>
      </c>
      <c r="B6" s="11">
        <v>45359</v>
      </c>
      <c r="C6" t="s">
        <v>96</v>
      </c>
      <c r="D6" t="s">
        <v>49</v>
      </c>
      <c r="E6" t="s">
        <v>50</v>
      </c>
      <c r="F6" t="s">
        <v>17</v>
      </c>
      <c r="G6" t="s">
        <v>35</v>
      </c>
      <c r="H6" s="18">
        <v>1</v>
      </c>
      <c r="I6" s="9">
        <v>483.83</v>
      </c>
      <c r="J6" s="9">
        <v>483.83</v>
      </c>
      <c r="K6" s="5" t="s">
        <v>52</v>
      </c>
      <c r="L6" t="s">
        <v>1056</v>
      </c>
      <c r="M6" t="s">
        <v>30</v>
      </c>
      <c r="N6" t="s">
        <v>21</v>
      </c>
      <c r="O6">
        <v>483.83</v>
      </c>
      <c r="P6" s="5">
        <v>483.83</v>
      </c>
      <c r="Q6" s="10">
        <v>0</v>
      </c>
      <c r="R6" s="19">
        <f>Table13[[#This Row],[Units]]*Table13[[#This Row],[UnitPrice]]*(1-Table13[[#This Row],[Discount Rate]])</f>
        <v>483.83</v>
      </c>
      <c r="S6" t="s">
        <v>1058</v>
      </c>
      <c r="T6">
        <f>IF(Table13[[#This Row],[Returned]]="N",0,1)</f>
        <v>0</v>
      </c>
    </row>
    <row r="7" spans="1:20" x14ac:dyDescent="0.35">
      <c r="A7">
        <v>20005</v>
      </c>
      <c r="B7" s="11">
        <v>45380</v>
      </c>
      <c r="C7" t="s">
        <v>84</v>
      </c>
      <c r="D7" t="s">
        <v>55</v>
      </c>
      <c r="E7" t="s">
        <v>56</v>
      </c>
      <c r="F7" t="s">
        <v>17</v>
      </c>
      <c r="G7" t="s">
        <v>57</v>
      </c>
      <c r="H7" s="18">
        <v>18</v>
      </c>
      <c r="I7" s="9">
        <v>904</v>
      </c>
      <c r="J7" s="9">
        <v>16267.03</v>
      </c>
      <c r="K7" s="5" t="s">
        <v>59</v>
      </c>
      <c r="L7" t="s">
        <v>1056</v>
      </c>
      <c r="M7" t="s">
        <v>60</v>
      </c>
      <c r="N7" t="s">
        <v>21</v>
      </c>
      <c r="O7">
        <v>904</v>
      </c>
      <c r="P7" s="5">
        <v>16272</v>
      </c>
      <c r="Q7" s="10">
        <v>0</v>
      </c>
      <c r="R7" s="19">
        <f>Table13[[#This Row],[Units]]*Table13[[#This Row],[UnitPrice]]*(1-Table13[[#This Row],[Discount Rate]])</f>
        <v>16272</v>
      </c>
      <c r="S7" t="s">
        <v>1058</v>
      </c>
      <c r="T7">
        <f>IF(Table13[[#This Row],[Returned]]="N",0,1)</f>
        <v>0</v>
      </c>
    </row>
    <row r="8" spans="1:20" x14ac:dyDescent="0.35">
      <c r="A8">
        <v>20006</v>
      </c>
      <c r="B8" s="11">
        <v>45352</v>
      </c>
      <c r="C8" t="s">
        <v>84</v>
      </c>
      <c r="D8" t="s">
        <v>55</v>
      </c>
      <c r="E8" t="s">
        <v>16</v>
      </c>
      <c r="F8" t="s">
        <v>17</v>
      </c>
      <c r="G8" t="s">
        <v>35</v>
      </c>
      <c r="H8" s="18">
        <v>19</v>
      </c>
      <c r="I8" s="9">
        <v>35.619999999999997</v>
      </c>
      <c r="J8" s="9">
        <v>609.09</v>
      </c>
      <c r="K8" s="5" t="s">
        <v>64</v>
      </c>
      <c r="L8" t="s">
        <v>72</v>
      </c>
      <c r="M8" t="s">
        <v>30</v>
      </c>
      <c r="N8" t="s">
        <v>21</v>
      </c>
      <c r="O8">
        <v>35.619999999999997</v>
      </c>
      <c r="P8" s="5">
        <v>609.10199999999998</v>
      </c>
      <c r="Q8" s="10">
        <v>0.1</v>
      </c>
      <c r="R8" s="19">
        <f>Table13[[#This Row],[Units]]*Table13[[#This Row],[UnitPrice]]*(1-Table13[[#This Row],[Discount Rate]])</f>
        <v>609.10199999999998</v>
      </c>
      <c r="S8" t="s">
        <v>1058</v>
      </c>
      <c r="T8">
        <f>IF(Table13[[#This Row],[Returned]]="N",0,1)</f>
        <v>0</v>
      </c>
    </row>
    <row r="9" spans="1:20" x14ac:dyDescent="0.35">
      <c r="A9">
        <v>20007</v>
      </c>
      <c r="B9" s="11">
        <v>45293</v>
      </c>
      <c r="C9" t="s">
        <v>100</v>
      </c>
      <c r="D9" t="s">
        <v>68</v>
      </c>
      <c r="E9" t="s">
        <v>69</v>
      </c>
      <c r="F9" t="s">
        <v>26</v>
      </c>
      <c r="G9" t="s">
        <v>43</v>
      </c>
      <c r="H9" s="18">
        <v>13</v>
      </c>
      <c r="I9" s="9">
        <v>37.1</v>
      </c>
      <c r="J9" s="9">
        <v>434.12</v>
      </c>
      <c r="K9" s="5" t="s">
        <v>71</v>
      </c>
      <c r="L9" t="s">
        <v>72</v>
      </c>
      <c r="M9" t="s">
        <v>60</v>
      </c>
      <c r="N9" t="s">
        <v>21</v>
      </c>
      <c r="O9">
        <v>37.1</v>
      </c>
      <c r="P9" s="5">
        <v>434.07</v>
      </c>
      <c r="Q9" s="10">
        <v>0.1</v>
      </c>
      <c r="R9" s="19">
        <f>Table13[[#This Row],[Units]]*Table13[[#This Row],[UnitPrice]]*(1-Table13[[#This Row],[Discount Rate]])</f>
        <v>434.07</v>
      </c>
      <c r="S9" t="s">
        <v>1058</v>
      </c>
      <c r="T9">
        <f>IF(Table13[[#This Row],[Returned]]="N",0,1)</f>
        <v>0</v>
      </c>
    </row>
    <row r="10" spans="1:20" x14ac:dyDescent="0.35">
      <c r="A10">
        <v>20008</v>
      </c>
      <c r="B10" s="11">
        <v>45332</v>
      </c>
      <c r="C10" t="s">
        <v>23</v>
      </c>
      <c r="D10" t="s">
        <v>75</v>
      </c>
      <c r="E10" t="s">
        <v>42</v>
      </c>
      <c r="F10" t="s">
        <v>17</v>
      </c>
      <c r="G10" t="s">
        <v>76</v>
      </c>
      <c r="H10" s="18">
        <v>9</v>
      </c>
      <c r="I10" s="9">
        <v>211.41</v>
      </c>
      <c r="J10" s="9">
        <v>1902.65</v>
      </c>
      <c r="K10" s="5" t="s">
        <v>78</v>
      </c>
      <c r="L10" t="s">
        <v>1056</v>
      </c>
      <c r="M10" t="s">
        <v>30</v>
      </c>
      <c r="N10" t="s">
        <v>21</v>
      </c>
      <c r="O10">
        <v>211.41</v>
      </c>
      <c r="P10" s="5">
        <v>1902.69</v>
      </c>
      <c r="Q10" s="10">
        <v>0</v>
      </c>
      <c r="R10" s="19">
        <f>Table13[[#This Row],[Units]]*Table13[[#This Row],[UnitPrice]]*(1-Table13[[#This Row],[Discount Rate]])</f>
        <v>1902.69</v>
      </c>
      <c r="S10" t="s">
        <v>1058</v>
      </c>
      <c r="T10">
        <f>IF(Table13[[#This Row],[Returned]]="N",0,1)</f>
        <v>0</v>
      </c>
    </row>
    <row r="11" spans="1:20" x14ac:dyDescent="0.35">
      <c r="A11">
        <v>20009</v>
      </c>
      <c r="B11" s="11">
        <v>45330</v>
      </c>
      <c r="C11" t="s">
        <v>23</v>
      </c>
      <c r="D11" t="s">
        <v>75</v>
      </c>
      <c r="E11" t="s">
        <v>42</v>
      </c>
      <c r="F11" t="s">
        <v>17</v>
      </c>
      <c r="G11" t="s">
        <v>35</v>
      </c>
      <c r="H11" s="18">
        <v>21</v>
      </c>
      <c r="I11" s="9">
        <v>189.85</v>
      </c>
      <c r="J11" s="9">
        <v>3986.82</v>
      </c>
      <c r="K11" s="5" t="s">
        <v>82</v>
      </c>
      <c r="L11" t="s">
        <v>1056</v>
      </c>
      <c r="M11" t="s">
        <v>60</v>
      </c>
      <c r="N11" t="s">
        <v>21</v>
      </c>
      <c r="O11">
        <v>189.85</v>
      </c>
      <c r="P11" s="5">
        <v>3986.85</v>
      </c>
      <c r="Q11" s="10">
        <v>0</v>
      </c>
      <c r="R11" s="19">
        <f>Table13[[#This Row],[Units]]*Table13[[#This Row],[UnitPrice]]*(1-Table13[[#This Row],[Discount Rate]])</f>
        <v>3986.85</v>
      </c>
      <c r="S11" t="s">
        <v>1058</v>
      </c>
      <c r="T11">
        <f>IF(Table13[[#This Row],[Returned]]="N",0,1)</f>
        <v>0</v>
      </c>
    </row>
    <row r="12" spans="1:20" x14ac:dyDescent="0.35">
      <c r="A12">
        <v>20010</v>
      </c>
      <c r="B12" s="11">
        <v>45309</v>
      </c>
      <c r="C12" t="s">
        <v>84</v>
      </c>
      <c r="D12" t="s">
        <v>55</v>
      </c>
      <c r="E12" t="s">
        <v>85</v>
      </c>
      <c r="F12" t="s">
        <v>17</v>
      </c>
      <c r="G12" t="s">
        <v>18</v>
      </c>
      <c r="H12" s="18">
        <v>12</v>
      </c>
      <c r="I12" s="9">
        <v>69.930000000000007</v>
      </c>
      <c r="J12" s="9">
        <v>839.17</v>
      </c>
      <c r="K12" s="5" t="s">
        <v>87</v>
      </c>
      <c r="L12" t="s">
        <v>1056</v>
      </c>
      <c r="M12" t="s">
        <v>30</v>
      </c>
      <c r="N12" t="s">
        <v>21</v>
      </c>
      <c r="O12">
        <v>69.930000000000007</v>
      </c>
      <c r="P12" s="5">
        <v>839.16000000000008</v>
      </c>
      <c r="Q12" s="10">
        <v>0</v>
      </c>
      <c r="R12" s="19">
        <f>Table13[[#This Row],[Units]]*Table13[[#This Row],[UnitPrice]]*(1-Table13[[#This Row],[Discount Rate]])</f>
        <v>839.16000000000008</v>
      </c>
      <c r="S12" t="s">
        <v>1058</v>
      </c>
      <c r="T12">
        <f>IF(Table13[[#This Row],[Returned]]="N",0,1)</f>
        <v>0</v>
      </c>
    </row>
    <row r="13" spans="1:20" x14ac:dyDescent="0.35">
      <c r="A13">
        <v>20011</v>
      </c>
      <c r="B13" s="11">
        <v>45380</v>
      </c>
      <c r="C13" t="s">
        <v>225</v>
      </c>
      <c r="D13" t="s">
        <v>89</v>
      </c>
      <c r="E13" t="s">
        <v>34</v>
      </c>
      <c r="F13" t="s">
        <v>26</v>
      </c>
      <c r="G13" t="s">
        <v>35</v>
      </c>
      <c r="H13" s="18">
        <v>16</v>
      </c>
      <c r="I13" s="9">
        <v>420</v>
      </c>
      <c r="J13" s="9">
        <v>6172.05</v>
      </c>
      <c r="K13" s="5" t="s">
        <v>91</v>
      </c>
      <c r="L13" t="s">
        <v>1056</v>
      </c>
      <c r="M13" t="s">
        <v>60</v>
      </c>
      <c r="N13" t="s">
        <v>21</v>
      </c>
      <c r="O13">
        <v>420</v>
      </c>
      <c r="P13" s="5">
        <v>6720</v>
      </c>
      <c r="Q13" s="10">
        <v>0</v>
      </c>
      <c r="R13" s="19">
        <f>Table13[[#This Row],[Units]]*Table13[[#This Row],[UnitPrice]]*(1-Table13[[#This Row],[Discount Rate]])</f>
        <v>6720</v>
      </c>
      <c r="S13" t="s">
        <v>1058</v>
      </c>
      <c r="T13">
        <f>IF(Table13[[#This Row],[Returned]]="N",0,1)</f>
        <v>0</v>
      </c>
    </row>
    <row r="14" spans="1:20" x14ac:dyDescent="0.35">
      <c r="A14">
        <v>20012</v>
      </c>
      <c r="B14" s="11">
        <v>45334</v>
      </c>
      <c r="C14" t="s">
        <v>23</v>
      </c>
      <c r="D14" t="s">
        <v>24</v>
      </c>
      <c r="E14" t="s">
        <v>56</v>
      </c>
      <c r="F14" t="s">
        <v>17</v>
      </c>
      <c r="G14" t="s">
        <v>57</v>
      </c>
      <c r="H14" s="18">
        <v>8</v>
      </c>
      <c r="I14" s="9">
        <v>825.13</v>
      </c>
      <c r="J14" s="9">
        <v>6601</v>
      </c>
      <c r="K14" s="5" t="s">
        <v>94</v>
      </c>
      <c r="L14" t="s">
        <v>1056</v>
      </c>
      <c r="M14" t="s">
        <v>30</v>
      </c>
      <c r="N14" t="s">
        <v>21</v>
      </c>
      <c r="O14">
        <v>825.13</v>
      </c>
      <c r="P14" s="5">
        <v>6601.04</v>
      </c>
      <c r="Q14" s="10">
        <v>0</v>
      </c>
      <c r="R14" s="19">
        <f>Table13[[#This Row],[Units]]*Table13[[#This Row],[UnitPrice]]*(1-Table13[[#This Row],[Discount Rate]])</f>
        <v>6601.04</v>
      </c>
      <c r="S14" t="s">
        <v>1058</v>
      </c>
      <c r="T14">
        <f>IF(Table13[[#This Row],[Returned]]="N",0,1)</f>
        <v>0</v>
      </c>
    </row>
    <row r="15" spans="1:20" x14ac:dyDescent="0.35">
      <c r="A15">
        <v>20013</v>
      </c>
      <c r="B15" s="11">
        <v>45314</v>
      </c>
      <c r="C15" t="s">
        <v>96</v>
      </c>
      <c r="D15" t="s">
        <v>49</v>
      </c>
      <c r="E15" t="s">
        <v>56</v>
      </c>
      <c r="F15" t="s">
        <v>17</v>
      </c>
      <c r="G15" t="s">
        <v>18</v>
      </c>
      <c r="H15" s="18">
        <v>15</v>
      </c>
      <c r="I15" s="9">
        <v>802.9</v>
      </c>
      <c r="J15" s="9">
        <v>10839</v>
      </c>
      <c r="K15" s="5" t="s">
        <v>98</v>
      </c>
      <c r="L15" t="s">
        <v>72</v>
      </c>
      <c r="M15" t="s">
        <v>60</v>
      </c>
      <c r="N15" t="s">
        <v>21</v>
      </c>
      <c r="O15">
        <v>802.9</v>
      </c>
      <c r="P15" s="5">
        <v>10839.15</v>
      </c>
      <c r="Q15" s="10">
        <v>0.1</v>
      </c>
      <c r="R15" s="19">
        <f>Table13[[#This Row],[Units]]*Table13[[#This Row],[UnitPrice]]*(1-Table13[[#This Row],[Discount Rate]])</f>
        <v>10839.15</v>
      </c>
      <c r="S15" t="s">
        <v>1058</v>
      </c>
      <c r="T15">
        <f>IF(Table13[[#This Row],[Returned]]="N",0,1)</f>
        <v>0</v>
      </c>
    </row>
    <row r="16" spans="1:20" x14ac:dyDescent="0.35">
      <c r="A16">
        <v>20014</v>
      </c>
      <c r="B16" s="11">
        <v>45343</v>
      </c>
      <c r="C16" t="s">
        <v>100</v>
      </c>
      <c r="D16" t="s">
        <v>68</v>
      </c>
      <c r="E16" t="s">
        <v>101</v>
      </c>
      <c r="F16" t="s">
        <v>17</v>
      </c>
      <c r="G16" t="s">
        <v>18</v>
      </c>
      <c r="H16" s="18">
        <v>20</v>
      </c>
      <c r="I16" s="9">
        <v>145</v>
      </c>
      <c r="J16" s="9">
        <v>2759.41</v>
      </c>
      <c r="K16" s="5" t="s">
        <v>103</v>
      </c>
      <c r="L16" t="s">
        <v>104</v>
      </c>
      <c r="M16" t="s">
        <v>60</v>
      </c>
      <c r="N16" t="s">
        <v>21</v>
      </c>
      <c r="O16">
        <v>145</v>
      </c>
      <c r="P16" s="5">
        <v>2755</v>
      </c>
      <c r="Q16" s="10">
        <v>0.05</v>
      </c>
      <c r="R16" s="19">
        <f>Table13[[#This Row],[Units]]*Table13[[#This Row],[UnitPrice]]*(1-Table13[[#This Row],[Discount Rate]])</f>
        <v>2755</v>
      </c>
      <c r="S16" t="s">
        <v>1058</v>
      </c>
      <c r="T16">
        <f>IF(Table13[[#This Row],[Returned]]="N",0,1)</f>
        <v>0</v>
      </c>
    </row>
    <row r="17" spans="1:20" x14ac:dyDescent="0.35">
      <c r="A17">
        <v>20015</v>
      </c>
      <c r="B17" s="11">
        <v>45322</v>
      </c>
      <c r="C17" t="s">
        <v>96</v>
      </c>
      <c r="D17" t="s">
        <v>49</v>
      </c>
      <c r="E17" t="s">
        <v>107</v>
      </c>
      <c r="F17" t="s">
        <v>26</v>
      </c>
      <c r="G17" t="s">
        <v>18</v>
      </c>
      <c r="H17" s="18">
        <v>21</v>
      </c>
      <c r="I17" s="9">
        <v>285.97000000000003</v>
      </c>
      <c r="J17" s="9">
        <v>6005.43</v>
      </c>
      <c r="K17" s="5" t="s">
        <v>109</v>
      </c>
      <c r="L17" t="s">
        <v>1056</v>
      </c>
      <c r="M17" t="s">
        <v>60</v>
      </c>
      <c r="N17" t="s">
        <v>21</v>
      </c>
      <c r="O17">
        <v>285.97000000000003</v>
      </c>
      <c r="P17" s="5">
        <v>6005.3700000000008</v>
      </c>
      <c r="Q17" s="10">
        <v>0</v>
      </c>
      <c r="R17" s="19">
        <f>Table13[[#This Row],[Units]]*Table13[[#This Row],[UnitPrice]]*(1-Table13[[#This Row],[Discount Rate]])</f>
        <v>6005.3700000000008</v>
      </c>
      <c r="S17" t="s">
        <v>1058</v>
      </c>
      <c r="T17">
        <f>IF(Table13[[#This Row],[Returned]]="N",0,1)</f>
        <v>0</v>
      </c>
    </row>
    <row r="18" spans="1:20" x14ac:dyDescent="0.35">
      <c r="A18">
        <v>20016</v>
      </c>
      <c r="B18" s="11">
        <v>45363</v>
      </c>
      <c r="C18" t="s">
        <v>100</v>
      </c>
      <c r="D18" t="s">
        <v>68</v>
      </c>
      <c r="E18" t="s">
        <v>107</v>
      </c>
      <c r="F18" t="s">
        <v>26</v>
      </c>
      <c r="G18" t="s">
        <v>43</v>
      </c>
      <c r="H18" s="18">
        <v>13</v>
      </c>
      <c r="I18" s="9">
        <v>280</v>
      </c>
      <c r="J18" s="9">
        <v>3453.62</v>
      </c>
      <c r="K18" s="5" t="s">
        <v>111</v>
      </c>
      <c r="L18" t="s">
        <v>1056</v>
      </c>
      <c r="M18" t="s">
        <v>30</v>
      </c>
      <c r="N18" t="s">
        <v>21</v>
      </c>
      <c r="O18">
        <v>280</v>
      </c>
      <c r="P18" s="5">
        <v>3640</v>
      </c>
      <c r="Q18" s="10">
        <v>0</v>
      </c>
      <c r="R18" s="19">
        <f>Table13[[#This Row],[Units]]*Table13[[#This Row],[UnitPrice]]*(1-Table13[[#This Row],[Discount Rate]])</f>
        <v>3640</v>
      </c>
      <c r="S18" t="s">
        <v>1058</v>
      </c>
      <c r="T18">
        <f>IF(Table13[[#This Row],[Returned]]="N",0,1)</f>
        <v>0</v>
      </c>
    </row>
    <row r="19" spans="1:20" x14ac:dyDescent="0.35">
      <c r="A19">
        <v>20017</v>
      </c>
      <c r="B19" s="11">
        <v>45334</v>
      </c>
      <c r="C19" t="s">
        <v>225</v>
      </c>
      <c r="D19" t="s">
        <v>113</v>
      </c>
      <c r="E19" t="s">
        <v>101</v>
      </c>
      <c r="F19" t="s">
        <v>17</v>
      </c>
      <c r="G19" t="s">
        <v>27</v>
      </c>
      <c r="H19" s="18">
        <v>14</v>
      </c>
      <c r="I19" s="9">
        <v>141</v>
      </c>
      <c r="J19" s="9">
        <v>1583.01</v>
      </c>
      <c r="K19" s="5" t="s">
        <v>115</v>
      </c>
      <c r="L19" t="s">
        <v>116</v>
      </c>
      <c r="M19" t="s">
        <v>30</v>
      </c>
      <c r="N19" t="s">
        <v>21</v>
      </c>
      <c r="O19">
        <v>141</v>
      </c>
      <c r="P19" s="5">
        <v>1579.2</v>
      </c>
      <c r="Q19" s="10">
        <v>0.2</v>
      </c>
      <c r="R19" s="19">
        <f>Table13[[#This Row],[Units]]*Table13[[#This Row],[UnitPrice]]*(1-Table13[[#This Row],[Discount Rate]])</f>
        <v>1579.2</v>
      </c>
      <c r="S19" t="s">
        <v>1058</v>
      </c>
      <c r="T19">
        <f>IF(Table13[[#This Row],[Returned]]="N",0,1)</f>
        <v>0</v>
      </c>
    </row>
    <row r="20" spans="1:20" x14ac:dyDescent="0.35">
      <c r="A20">
        <v>20018</v>
      </c>
      <c r="B20" s="11">
        <v>45345</v>
      </c>
      <c r="C20" t="s">
        <v>23</v>
      </c>
      <c r="D20" t="s">
        <v>75</v>
      </c>
      <c r="E20" t="s">
        <v>107</v>
      </c>
      <c r="F20" t="s">
        <v>26</v>
      </c>
      <c r="G20" t="s">
        <v>76</v>
      </c>
      <c r="H20" s="18">
        <v>16</v>
      </c>
      <c r="I20" s="9">
        <v>280</v>
      </c>
      <c r="J20" s="9">
        <v>4380.97</v>
      </c>
      <c r="K20" s="5" t="s">
        <v>119</v>
      </c>
      <c r="L20" t="s">
        <v>1056</v>
      </c>
      <c r="M20" t="s">
        <v>60</v>
      </c>
      <c r="N20" t="s">
        <v>21</v>
      </c>
      <c r="O20">
        <v>280</v>
      </c>
      <c r="P20" s="5">
        <v>4480</v>
      </c>
      <c r="Q20" s="10">
        <v>0</v>
      </c>
      <c r="R20" s="19">
        <f>Table13[[#This Row],[Units]]*Table13[[#This Row],[UnitPrice]]*(1-Table13[[#This Row],[Discount Rate]])</f>
        <v>4480</v>
      </c>
      <c r="S20" t="s">
        <v>1058</v>
      </c>
      <c r="T20">
        <f>IF(Table13[[#This Row],[Returned]]="N",0,1)</f>
        <v>0</v>
      </c>
    </row>
    <row r="21" spans="1:20" x14ac:dyDescent="0.35">
      <c r="A21">
        <v>20019</v>
      </c>
      <c r="B21" s="11">
        <v>45345</v>
      </c>
      <c r="C21" t="s">
        <v>652</v>
      </c>
      <c r="D21" t="s">
        <v>121</v>
      </c>
      <c r="E21" t="s">
        <v>69</v>
      </c>
      <c r="F21" t="s">
        <v>26</v>
      </c>
      <c r="G21" t="s">
        <v>35</v>
      </c>
      <c r="H21" s="18">
        <v>18</v>
      </c>
      <c r="I21" s="9">
        <v>35.64</v>
      </c>
      <c r="J21" s="9">
        <v>641.58000000000004</v>
      </c>
      <c r="K21" s="5" t="s">
        <v>123</v>
      </c>
      <c r="L21" t="s">
        <v>1056</v>
      </c>
      <c r="M21" t="s">
        <v>60</v>
      </c>
      <c r="N21" t="s">
        <v>21</v>
      </c>
      <c r="O21">
        <v>35.64</v>
      </c>
      <c r="P21" s="5">
        <v>641.52</v>
      </c>
      <c r="Q21" s="10">
        <v>0</v>
      </c>
      <c r="R21" s="19">
        <f>Table13[[#This Row],[Units]]*Table13[[#This Row],[UnitPrice]]*(1-Table13[[#This Row],[Discount Rate]])</f>
        <v>641.52</v>
      </c>
      <c r="S21" t="s">
        <v>1058</v>
      </c>
      <c r="T21">
        <f>IF(Table13[[#This Row],[Returned]]="N",0,1)</f>
        <v>0</v>
      </c>
    </row>
    <row r="22" spans="1:20" x14ac:dyDescent="0.35">
      <c r="A22">
        <v>20020</v>
      </c>
      <c r="B22" s="11">
        <v>45312</v>
      </c>
      <c r="C22" t="s">
        <v>84</v>
      </c>
      <c r="D22" t="s">
        <v>55</v>
      </c>
      <c r="E22" t="s">
        <v>34</v>
      </c>
      <c r="F22" t="s">
        <v>126</v>
      </c>
      <c r="G22" t="s">
        <v>35</v>
      </c>
      <c r="H22" s="18">
        <v>8</v>
      </c>
      <c r="I22" s="9">
        <v>430.19</v>
      </c>
      <c r="J22" s="9">
        <v>3441.54</v>
      </c>
      <c r="K22" s="5" t="s">
        <v>128</v>
      </c>
      <c r="L22" t="s">
        <v>1056</v>
      </c>
      <c r="M22" t="s">
        <v>60</v>
      </c>
      <c r="N22" t="s">
        <v>21</v>
      </c>
      <c r="O22">
        <v>430.19</v>
      </c>
      <c r="P22" s="5">
        <v>3441.52</v>
      </c>
      <c r="Q22" s="10">
        <v>0</v>
      </c>
      <c r="R22" s="19">
        <f>Table13[[#This Row],[Units]]*Table13[[#This Row],[UnitPrice]]*(1-Table13[[#This Row],[Discount Rate]])</f>
        <v>3441.52</v>
      </c>
      <c r="S22" t="s">
        <v>1058</v>
      </c>
      <c r="T22">
        <f>IF(Table13[[#This Row],[Returned]]="N",0,1)</f>
        <v>0</v>
      </c>
    </row>
    <row r="23" spans="1:20" x14ac:dyDescent="0.35">
      <c r="A23">
        <v>20021</v>
      </c>
      <c r="B23" s="11">
        <v>45354</v>
      </c>
      <c r="C23" t="s">
        <v>84</v>
      </c>
      <c r="D23" t="s">
        <v>55</v>
      </c>
      <c r="E23" t="s">
        <v>50</v>
      </c>
      <c r="F23" t="s">
        <v>17</v>
      </c>
      <c r="G23" t="s">
        <v>76</v>
      </c>
      <c r="H23" s="18">
        <v>12</v>
      </c>
      <c r="I23" s="9">
        <v>481.53</v>
      </c>
      <c r="J23" s="9">
        <v>5778.32</v>
      </c>
      <c r="K23" s="5" t="s">
        <v>131</v>
      </c>
      <c r="L23" t="s">
        <v>1056</v>
      </c>
      <c r="M23" t="s">
        <v>60</v>
      </c>
      <c r="N23" t="s">
        <v>21</v>
      </c>
      <c r="O23">
        <v>481.53</v>
      </c>
      <c r="P23" s="5">
        <v>5778.36</v>
      </c>
      <c r="Q23" s="10">
        <v>0</v>
      </c>
      <c r="R23" s="19">
        <f>Table13[[#This Row],[Units]]*Table13[[#This Row],[UnitPrice]]*(1-Table13[[#This Row],[Discount Rate]])</f>
        <v>5778.36</v>
      </c>
      <c r="S23" t="s">
        <v>1058</v>
      </c>
      <c r="T23">
        <f>IF(Table13[[#This Row],[Returned]]="N",0,1)</f>
        <v>0</v>
      </c>
    </row>
    <row r="24" spans="1:20" x14ac:dyDescent="0.35">
      <c r="A24">
        <v>20022</v>
      </c>
      <c r="B24" s="11">
        <v>45333</v>
      </c>
      <c r="C24" t="s">
        <v>23</v>
      </c>
      <c r="D24" t="s">
        <v>24</v>
      </c>
      <c r="E24" t="s">
        <v>101</v>
      </c>
      <c r="F24" t="s">
        <v>17</v>
      </c>
      <c r="G24" t="s">
        <v>76</v>
      </c>
      <c r="H24" s="18">
        <v>16</v>
      </c>
      <c r="I24" s="9">
        <v>149.12</v>
      </c>
      <c r="J24" s="9">
        <v>2385.9299999999998</v>
      </c>
      <c r="K24" s="5" t="s">
        <v>135</v>
      </c>
      <c r="L24" t="s">
        <v>1056</v>
      </c>
      <c r="M24" t="s">
        <v>30</v>
      </c>
      <c r="N24" t="s">
        <v>21</v>
      </c>
      <c r="O24">
        <v>149.12</v>
      </c>
      <c r="P24" s="5">
        <v>2385.92</v>
      </c>
      <c r="Q24" s="10">
        <v>0</v>
      </c>
      <c r="R24" s="19">
        <f>Table13[[#This Row],[Units]]*Table13[[#This Row],[UnitPrice]]*(1-Table13[[#This Row],[Discount Rate]])</f>
        <v>2385.92</v>
      </c>
      <c r="S24" t="s">
        <v>1058</v>
      </c>
      <c r="T24">
        <f>IF(Table13[[#This Row],[Returned]]="N",0,1)</f>
        <v>0</v>
      </c>
    </row>
    <row r="25" spans="1:20" x14ac:dyDescent="0.35">
      <c r="A25">
        <v>20023</v>
      </c>
      <c r="B25" s="11">
        <v>45336</v>
      </c>
      <c r="C25" t="s">
        <v>225</v>
      </c>
      <c r="D25" t="s">
        <v>89</v>
      </c>
      <c r="E25" t="s">
        <v>85</v>
      </c>
      <c r="F25" t="s">
        <v>17</v>
      </c>
      <c r="G25" t="s">
        <v>57</v>
      </c>
      <c r="H25" s="18">
        <v>14</v>
      </c>
      <c r="I25" s="9">
        <v>68.36</v>
      </c>
      <c r="J25" s="9">
        <v>956.99</v>
      </c>
      <c r="K25" s="5" t="s">
        <v>138</v>
      </c>
      <c r="L25" t="s">
        <v>1056</v>
      </c>
      <c r="M25" t="s">
        <v>30</v>
      </c>
      <c r="N25" t="s">
        <v>21</v>
      </c>
      <c r="O25">
        <v>68.36</v>
      </c>
      <c r="P25" s="5">
        <v>957.04</v>
      </c>
      <c r="Q25" s="10">
        <v>0</v>
      </c>
      <c r="R25" s="19">
        <f>Table13[[#This Row],[Units]]*Table13[[#This Row],[UnitPrice]]*(1-Table13[[#This Row],[Discount Rate]])</f>
        <v>957.04</v>
      </c>
      <c r="S25" t="s">
        <v>1058</v>
      </c>
      <c r="T25">
        <f>IF(Table13[[#This Row],[Returned]]="N",0,1)</f>
        <v>0</v>
      </c>
    </row>
    <row r="26" spans="1:20" x14ac:dyDescent="0.35">
      <c r="A26">
        <v>20024</v>
      </c>
      <c r="B26" s="11">
        <v>45293</v>
      </c>
      <c r="C26" t="s">
        <v>100</v>
      </c>
      <c r="D26" t="s">
        <v>141</v>
      </c>
      <c r="E26" t="s">
        <v>142</v>
      </c>
      <c r="F26" t="s">
        <v>17</v>
      </c>
      <c r="G26" t="s">
        <v>27</v>
      </c>
      <c r="H26" s="18">
        <v>18</v>
      </c>
      <c r="I26" s="9">
        <v>186.85</v>
      </c>
      <c r="J26" s="9">
        <v>3363.23</v>
      </c>
      <c r="K26" s="5" t="s">
        <v>144</v>
      </c>
      <c r="L26" t="s">
        <v>1056</v>
      </c>
      <c r="M26" t="s">
        <v>30</v>
      </c>
      <c r="N26" t="s">
        <v>21</v>
      </c>
      <c r="O26">
        <v>186.85</v>
      </c>
      <c r="P26" s="5">
        <v>3363.2999999999997</v>
      </c>
      <c r="Q26" s="10">
        <v>0</v>
      </c>
      <c r="R26" s="19">
        <f>Table13[[#This Row],[Units]]*Table13[[#This Row],[UnitPrice]]*(1-Table13[[#This Row],[Discount Rate]])</f>
        <v>3363.2999999999997</v>
      </c>
      <c r="S26" t="s">
        <v>1058</v>
      </c>
      <c r="T26">
        <f>IF(Table13[[#This Row],[Returned]]="N",0,1)</f>
        <v>0</v>
      </c>
    </row>
    <row r="27" spans="1:20" x14ac:dyDescent="0.35">
      <c r="A27">
        <v>20025</v>
      </c>
      <c r="B27" s="11">
        <v>45307</v>
      </c>
      <c r="C27" t="s">
        <v>23</v>
      </c>
      <c r="D27" t="s">
        <v>75</v>
      </c>
      <c r="E27" t="s">
        <v>56</v>
      </c>
      <c r="F27" t="s">
        <v>17</v>
      </c>
      <c r="G27" t="s">
        <v>18</v>
      </c>
      <c r="H27" s="18">
        <v>15</v>
      </c>
      <c r="I27" s="9">
        <v>808</v>
      </c>
      <c r="J27" s="9">
        <v>12118.82</v>
      </c>
      <c r="K27" s="5" t="s">
        <v>147</v>
      </c>
      <c r="L27" t="s">
        <v>1056</v>
      </c>
      <c r="M27" t="s">
        <v>60</v>
      </c>
      <c r="N27" t="s">
        <v>21</v>
      </c>
      <c r="O27">
        <v>808</v>
      </c>
      <c r="P27" s="5">
        <v>12120</v>
      </c>
      <c r="Q27" s="10">
        <v>0</v>
      </c>
      <c r="R27" s="19">
        <f>Table13[[#This Row],[Units]]*Table13[[#This Row],[UnitPrice]]*(1-Table13[[#This Row],[Discount Rate]])</f>
        <v>12120</v>
      </c>
      <c r="S27" t="s">
        <v>1058</v>
      </c>
      <c r="T27">
        <f>IF(Table13[[#This Row],[Returned]]="N",0,1)</f>
        <v>0</v>
      </c>
    </row>
    <row r="28" spans="1:20" x14ac:dyDescent="0.35">
      <c r="A28">
        <v>20026</v>
      </c>
      <c r="B28" s="11">
        <v>45350</v>
      </c>
      <c r="C28" t="s">
        <v>100</v>
      </c>
      <c r="D28" t="s">
        <v>68</v>
      </c>
      <c r="E28" t="s">
        <v>101</v>
      </c>
      <c r="F28" t="s">
        <v>17</v>
      </c>
      <c r="G28" t="s">
        <v>76</v>
      </c>
      <c r="H28" s="18">
        <v>20</v>
      </c>
      <c r="I28" s="9">
        <v>152.53</v>
      </c>
      <c r="J28" s="9">
        <v>2745.59</v>
      </c>
      <c r="K28" s="5" t="s">
        <v>150</v>
      </c>
      <c r="L28" t="s">
        <v>72</v>
      </c>
      <c r="M28" t="s">
        <v>60</v>
      </c>
      <c r="N28" t="s">
        <v>151</v>
      </c>
      <c r="O28">
        <v>152.53</v>
      </c>
      <c r="P28" s="5">
        <v>2745.54</v>
      </c>
      <c r="Q28" s="10">
        <v>0.1</v>
      </c>
      <c r="R28" s="19">
        <f>Table13[[#This Row],[Units]]*Table13[[#This Row],[UnitPrice]]*(1-Table13[[#This Row],[Discount Rate]])</f>
        <v>2745.54</v>
      </c>
      <c r="S28" t="s">
        <v>1058</v>
      </c>
      <c r="T28">
        <f>IF(Table13[[#This Row],[Returned]]="N",0,1)</f>
        <v>1</v>
      </c>
    </row>
    <row r="29" spans="1:20" x14ac:dyDescent="0.35">
      <c r="A29">
        <v>20027</v>
      </c>
      <c r="B29" s="11">
        <v>45348</v>
      </c>
      <c r="C29" t="s">
        <v>652</v>
      </c>
      <c r="D29" t="s">
        <v>41</v>
      </c>
      <c r="E29" t="s">
        <v>50</v>
      </c>
      <c r="F29" t="s">
        <v>17</v>
      </c>
      <c r="G29" t="s">
        <v>43</v>
      </c>
      <c r="H29" s="18">
        <v>9</v>
      </c>
      <c r="I29" s="9">
        <v>411.43</v>
      </c>
      <c r="J29" s="9">
        <v>3702.84</v>
      </c>
      <c r="K29" s="5" t="s">
        <v>155</v>
      </c>
      <c r="L29" t="s">
        <v>1056</v>
      </c>
      <c r="M29" t="s">
        <v>30</v>
      </c>
      <c r="N29" t="s">
        <v>21</v>
      </c>
      <c r="O29">
        <v>411.43</v>
      </c>
      <c r="P29" s="5">
        <v>3702.87</v>
      </c>
      <c r="Q29" s="10">
        <v>0</v>
      </c>
      <c r="R29" s="19">
        <f>Table13[[#This Row],[Units]]*Table13[[#This Row],[UnitPrice]]*(1-Table13[[#This Row],[Discount Rate]])</f>
        <v>3702.87</v>
      </c>
      <c r="S29" t="s">
        <v>1058</v>
      </c>
      <c r="T29">
        <f>IF(Table13[[#This Row],[Returned]]="N",0,1)</f>
        <v>0</v>
      </c>
    </row>
    <row r="30" spans="1:20" x14ac:dyDescent="0.35">
      <c r="A30">
        <v>20028</v>
      </c>
      <c r="B30" s="11">
        <v>45344</v>
      </c>
      <c r="C30" t="s">
        <v>23</v>
      </c>
      <c r="D30" t="s">
        <v>75</v>
      </c>
      <c r="E30" t="s">
        <v>34</v>
      </c>
      <c r="F30" t="s">
        <v>26</v>
      </c>
      <c r="G30" t="s">
        <v>43</v>
      </c>
      <c r="H30" s="18">
        <v>6</v>
      </c>
      <c r="I30" s="9">
        <v>433</v>
      </c>
      <c r="J30" s="9">
        <v>2596.36</v>
      </c>
      <c r="K30" s="5" t="s">
        <v>158</v>
      </c>
      <c r="L30" t="s">
        <v>1056</v>
      </c>
      <c r="M30" t="s">
        <v>30</v>
      </c>
      <c r="N30" t="s">
        <v>21</v>
      </c>
      <c r="O30">
        <v>433</v>
      </c>
      <c r="P30" s="5">
        <v>2598</v>
      </c>
      <c r="Q30" s="10">
        <v>0</v>
      </c>
      <c r="R30" s="19">
        <f>Table13[[#This Row],[Units]]*Table13[[#This Row],[UnitPrice]]*(1-Table13[[#This Row],[Discount Rate]])</f>
        <v>2598</v>
      </c>
      <c r="S30" t="s">
        <v>1058</v>
      </c>
      <c r="T30">
        <f>IF(Table13[[#This Row],[Returned]]="N",0,1)</f>
        <v>0</v>
      </c>
    </row>
    <row r="31" spans="1:20" x14ac:dyDescent="0.35">
      <c r="A31">
        <v>20029</v>
      </c>
      <c r="B31" s="11">
        <v>45348</v>
      </c>
      <c r="C31" t="s">
        <v>100</v>
      </c>
      <c r="D31" t="s">
        <v>68</v>
      </c>
      <c r="E31" t="s">
        <v>25</v>
      </c>
      <c r="F31" t="s">
        <v>26</v>
      </c>
      <c r="G31" t="s">
        <v>76</v>
      </c>
      <c r="H31" s="18">
        <v>17</v>
      </c>
      <c r="I31" s="9">
        <v>108</v>
      </c>
      <c r="J31" s="9">
        <v>1836.47</v>
      </c>
      <c r="K31" s="5" t="s">
        <v>161</v>
      </c>
      <c r="L31" t="s">
        <v>1056</v>
      </c>
      <c r="M31" t="s">
        <v>30</v>
      </c>
      <c r="N31" t="s">
        <v>21</v>
      </c>
      <c r="O31">
        <v>108</v>
      </c>
      <c r="P31" s="5">
        <v>1836</v>
      </c>
      <c r="Q31" s="10">
        <v>0</v>
      </c>
      <c r="R31" s="19">
        <f>Table13[[#This Row],[Units]]*Table13[[#This Row],[UnitPrice]]*(1-Table13[[#This Row],[Discount Rate]])</f>
        <v>1836</v>
      </c>
      <c r="S31" t="s">
        <v>1058</v>
      </c>
      <c r="T31">
        <f>IF(Table13[[#This Row],[Returned]]="N",0,1)</f>
        <v>0</v>
      </c>
    </row>
    <row r="32" spans="1:20" x14ac:dyDescent="0.35">
      <c r="A32">
        <v>20030</v>
      </c>
      <c r="B32" s="11">
        <v>45357</v>
      </c>
      <c r="C32" t="s">
        <v>23</v>
      </c>
      <c r="D32" t="s">
        <v>75</v>
      </c>
      <c r="E32" t="s">
        <v>85</v>
      </c>
      <c r="F32" t="s">
        <v>17</v>
      </c>
      <c r="G32" t="s">
        <v>76</v>
      </c>
      <c r="H32" s="18">
        <v>4</v>
      </c>
      <c r="I32" s="9">
        <v>60.03</v>
      </c>
      <c r="J32" s="9">
        <v>240</v>
      </c>
      <c r="K32" s="5" t="s">
        <v>164</v>
      </c>
      <c r="L32" t="s">
        <v>1056</v>
      </c>
      <c r="M32" t="s">
        <v>30</v>
      </c>
      <c r="N32" t="s">
        <v>21</v>
      </c>
      <c r="O32">
        <v>60.03</v>
      </c>
      <c r="P32" s="5">
        <v>240.12</v>
      </c>
      <c r="Q32" s="10">
        <v>0</v>
      </c>
      <c r="R32" s="19">
        <f>Table13[[#This Row],[Units]]*Table13[[#This Row],[UnitPrice]]*(1-Table13[[#This Row],[Discount Rate]])</f>
        <v>240.12</v>
      </c>
      <c r="S32" t="s">
        <v>1058</v>
      </c>
      <c r="T32">
        <f>IF(Table13[[#This Row],[Returned]]="N",0,1)</f>
        <v>0</v>
      </c>
    </row>
    <row r="33" spans="1:20" x14ac:dyDescent="0.35">
      <c r="A33">
        <v>20031</v>
      </c>
      <c r="B33" s="11">
        <v>45344</v>
      </c>
      <c r="C33" t="s">
        <v>84</v>
      </c>
      <c r="D33" t="s">
        <v>55</v>
      </c>
      <c r="E33" t="s">
        <v>166</v>
      </c>
      <c r="F33" t="s">
        <v>17</v>
      </c>
      <c r="G33" t="s">
        <v>76</v>
      </c>
      <c r="H33" s="18">
        <v>19</v>
      </c>
      <c r="I33" s="9">
        <v>24.95</v>
      </c>
      <c r="J33" s="9">
        <v>474</v>
      </c>
      <c r="K33" s="5" t="s">
        <v>168</v>
      </c>
      <c r="L33" t="s">
        <v>1056</v>
      </c>
      <c r="M33" t="s">
        <v>30</v>
      </c>
      <c r="N33" t="s">
        <v>21</v>
      </c>
      <c r="O33">
        <v>24.95</v>
      </c>
      <c r="P33" s="5">
        <v>474.05</v>
      </c>
      <c r="Q33" s="10">
        <v>0</v>
      </c>
      <c r="R33" s="19">
        <f>Table13[[#This Row],[Units]]*Table13[[#This Row],[UnitPrice]]*(1-Table13[[#This Row],[Discount Rate]])</f>
        <v>474.05</v>
      </c>
      <c r="S33" t="s">
        <v>1058</v>
      </c>
      <c r="T33">
        <f>IF(Table13[[#This Row],[Returned]]="N",0,1)</f>
        <v>0</v>
      </c>
    </row>
    <row r="34" spans="1:20" x14ac:dyDescent="0.35">
      <c r="A34">
        <v>20032</v>
      </c>
      <c r="B34" s="11">
        <v>45342</v>
      </c>
      <c r="C34" t="s">
        <v>84</v>
      </c>
      <c r="D34" t="s">
        <v>170</v>
      </c>
      <c r="E34" t="s">
        <v>56</v>
      </c>
      <c r="F34" t="s">
        <v>17</v>
      </c>
      <c r="G34" t="s">
        <v>18</v>
      </c>
      <c r="H34" s="18">
        <v>11</v>
      </c>
      <c r="I34" s="9">
        <v>913.61</v>
      </c>
      <c r="J34" s="9">
        <v>10050</v>
      </c>
      <c r="K34" s="5" t="s">
        <v>172</v>
      </c>
      <c r="L34" t="s">
        <v>1056</v>
      </c>
      <c r="M34" t="s">
        <v>30</v>
      </c>
      <c r="N34" t="s">
        <v>21</v>
      </c>
      <c r="O34">
        <v>913.61</v>
      </c>
      <c r="P34" s="5">
        <v>10049.710000000001</v>
      </c>
      <c r="Q34" s="10">
        <v>0</v>
      </c>
      <c r="R34" s="19">
        <f>Table13[[#This Row],[Units]]*Table13[[#This Row],[UnitPrice]]*(1-Table13[[#This Row],[Discount Rate]])</f>
        <v>10049.710000000001</v>
      </c>
      <c r="S34" t="s">
        <v>1058</v>
      </c>
      <c r="T34">
        <f>IF(Table13[[#This Row],[Returned]]="N",0,1)</f>
        <v>0</v>
      </c>
    </row>
    <row r="35" spans="1:20" x14ac:dyDescent="0.35">
      <c r="A35">
        <v>20033</v>
      </c>
      <c r="B35" s="11">
        <v>45347</v>
      </c>
      <c r="C35" t="s">
        <v>100</v>
      </c>
      <c r="D35" t="s">
        <v>33</v>
      </c>
      <c r="E35" t="s">
        <v>56</v>
      </c>
      <c r="F35" t="s">
        <v>17</v>
      </c>
      <c r="G35" t="s">
        <v>18</v>
      </c>
      <c r="H35" s="18">
        <v>10</v>
      </c>
      <c r="I35" s="9">
        <v>891.95</v>
      </c>
      <c r="J35" s="9">
        <v>8919.5</v>
      </c>
      <c r="K35" s="5" t="s">
        <v>175</v>
      </c>
      <c r="L35" t="s">
        <v>1056</v>
      </c>
      <c r="M35" t="s">
        <v>30</v>
      </c>
      <c r="N35" t="s">
        <v>21</v>
      </c>
      <c r="O35">
        <v>891.95</v>
      </c>
      <c r="P35" s="5">
        <v>8919.5</v>
      </c>
      <c r="Q35" s="10">
        <v>0</v>
      </c>
      <c r="R35" s="19">
        <f>Table13[[#This Row],[Units]]*Table13[[#This Row],[UnitPrice]]*(1-Table13[[#This Row],[Discount Rate]])</f>
        <v>8919.5</v>
      </c>
      <c r="S35" t="s">
        <v>1058</v>
      </c>
      <c r="T35">
        <f>IF(Table13[[#This Row],[Returned]]="N",0,1)</f>
        <v>0</v>
      </c>
    </row>
    <row r="36" spans="1:20" x14ac:dyDescent="0.35">
      <c r="A36">
        <v>20034</v>
      </c>
      <c r="B36" s="11">
        <v>45346</v>
      </c>
      <c r="C36" t="s">
        <v>23</v>
      </c>
      <c r="D36" t="s">
        <v>177</v>
      </c>
      <c r="E36" t="s">
        <v>101</v>
      </c>
      <c r="F36" t="s">
        <v>17</v>
      </c>
      <c r="G36" t="s">
        <v>27</v>
      </c>
      <c r="H36" s="18">
        <v>19</v>
      </c>
      <c r="I36" s="9">
        <v>143.86000000000001</v>
      </c>
      <c r="J36" s="9">
        <v>2733.37</v>
      </c>
      <c r="K36" s="5" t="s">
        <v>179</v>
      </c>
      <c r="L36" t="s">
        <v>1056</v>
      </c>
      <c r="M36" t="s">
        <v>60</v>
      </c>
      <c r="N36" t="s">
        <v>21</v>
      </c>
      <c r="O36">
        <v>143.86000000000001</v>
      </c>
      <c r="P36" s="5">
        <v>2733.34</v>
      </c>
      <c r="Q36" s="10">
        <v>0</v>
      </c>
      <c r="R36" s="19">
        <f>Table13[[#This Row],[Units]]*Table13[[#This Row],[UnitPrice]]*(1-Table13[[#This Row],[Discount Rate]])</f>
        <v>2733.34</v>
      </c>
      <c r="S36" t="s">
        <v>1058</v>
      </c>
      <c r="T36">
        <f>IF(Table13[[#This Row],[Returned]]="N",0,1)</f>
        <v>0</v>
      </c>
    </row>
    <row r="37" spans="1:20" x14ac:dyDescent="0.35">
      <c r="A37">
        <v>20035</v>
      </c>
      <c r="B37" s="11">
        <v>45337</v>
      </c>
      <c r="C37" t="s">
        <v>23</v>
      </c>
      <c r="D37" t="s">
        <v>24</v>
      </c>
      <c r="E37" t="s">
        <v>101</v>
      </c>
      <c r="F37" t="s">
        <v>17</v>
      </c>
      <c r="G37" t="s">
        <v>27</v>
      </c>
      <c r="H37" s="18">
        <v>1</v>
      </c>
      <c r="I37" s="9">
        <v>144.43</v>
      </c>
      <c r="J37" s="9">
        <v>144.43</v>
      </c>
      <c r="K37" s="5" t="s">
        <v>182</v>
      </c>
      <c r="L37" t="s">
        <v>1056</v>
      </c>
      <c r="M37" t="s">
        <v>30</v>
      </c>
      <c r="N37" t="s">
        <v>151</v>
      </c>
      <c r="O37">
        <v>144.43</v>
      </c>
      <c r="P37" s="5">
        <v>144.43</v>
      </c>
      <c r="Q37" s="10">
        <v>0</v>
      </c>
      <c r="R37" s="19">
        <f>Table13[[#This Row],[Units]]*Table13[[#This Row],[UnitPrice]]*(1-Table13[[#This Row],[Discount Rate]])</f>
        <v>144.43</v>
      </c>
      <c r="S37" t="s">
        <v>1058</v>
      </c>
      <c r="T37">
        <f>IF(Table13[[#This Row],[Returned]]="N",0,1)</f>
        <v>1</v>
      </c>
    </row>
    <row r="38" spans="1:20" x14ac:dyDescent="0.35">
      <c r="A38">
        <v>20036</v>
      </c>
      <c r="B38" s="11">
        <v>45329</v>
      </c>
      <c r="C38" t="s">
        <v>652</v>
      </c>
      <c r="D38" t="s">
        <v>121</v>
      </c>
      <c r="E38" t="s">
        <v>34</v>
      </c>
      <c r="F38" t="s">
        <v>26</v>
      </c>
      <c r="G38" t="s">
        <v>27</v>
      </c>
      <c r="H38" s="18">
        <v>15</v>
      </c>
      <c r="I38" s="9">
        <v>439.52</v>
      </c>
      <c r="J38" s="9">
        <v>5933.5</v>
      </c>
      <c r="K38" s="5" t="s">
        <v>185</v>
      </c>
      <c r="L38" t="s">
        <v>72</v>
      </c>
      <c r="M38" t="s">
        <v>60</v>
      </c>
      <c r="N38" t="s">
        <v>21</v>
      </c>
      <c r="O38">
        <v>439.52</v>
      </c>
      <c r="P38" s="5">
        <v>5933.5199999999995</v>
      </c>
      <c r="Q38" s="10">
        <v>0.1</v>
      </c>
      <c r="R38" s="19">
        <f>Table13[[#This Row],[Units]]*Table13[[#This Row],[UnitPrice]]*(1-Table13[[#This Row],[Discount Rate]])</f>
        <v>5933.5199999999995</v>
      </c>
      <c r="S38" t="s">
        <v>1058</v>
      </c>
      <c r="T38">
        <f>IF(Table13[[#This Row],[Returned]]="N",0,1)</f>
        <v>0</v>
      </c>
    </row>
    <row r="39" spans="1:20" x14ac:dyDescent="0.35">
      <c r="A39">
        <v>20037</v>
      </c>
      <c r="B39" s="11">
        <v>45374</v>
      </c>
      <c r="C39" t="s">
        <v>23</v>
      </c>
      <c r="D39" t="s">
        <v>24</v>
      </c>
      <c r="E39" t="s">
        <v>50</v>
      </c>
      <c r="F39" t="s">
        <v>17</v>
      </c>
      <c r="G39" t="s">
        <v>57</v>
      </c>
      <c r="H39" s="18">
        <v>18</v>
      </c>
      <c r="I39" s="9">
        <v>465.55</v>
      </c>
      <c r="J39" s="9">
        <v>8379.98</v>
      </c>
      <c r="K39" s="5" t="s">
        <v>189</v>
      </c>
      <c r="L39" t="s">
        <v>1056</v>
      </c>
      <c r="M39" t="s">
        <v>60</v>
      </c>
      <c r="N39" t="s">
        <v>21</v>
      </c>
      <c r="O39">
        <v>465.55</v>
      </c>
      <c r="P39" s="5">
        <v>8379.9</v>
      </c>
      <c r="Q39" s="10">
        <v>0</v>
      </c>
      <c r="R39" s="19">
        <f>Table13[[#This Row],[Units]]*Table13[[#This Row],[UnitPrice]]*(1-Table13[[#This Row],[Discount Rate]])</f>
        <v>8379.9</v>
      </c>
      <c r="S39" t="s">
        <v>1058</v>
      </c>
      <c r="T39">
        <f>IF(Table13[[#This Row],[Returned]]="N",0,1)</f>
        <v>0</v>
      </c>
    </row>
    <row r="40" spans="1:20" x14ac:dyDescent="0.35">
      <c r="A40">
        <v>20038</v>
      </c>
      <c r="B40" s="11">
        <v>45327</v>
      </c>
      <c r="C40" t="s">
        <v>23</v>
      </c>
      <c r="D40" t="s">
        <v>75</v>
      </c>
      <c r="E40" t="s">
        <v>166</v>
      </c>
      <c r="F40" t="s">
        <v>17</v>
      </c>
      <c r="G40" t="s">
        <v>18</v>
      </c>
      <c r="H40" s="18">
        <v>8</v>
      </c>
      <c r="I40" s="9">
        <v>23.18</v>
      </c>
      <c r="J40" s="9">
        <v>185.43</v>
      </c>
      <c r="K40" s="5" t="s">
        <v>192</v>
      </c>
      <c r="L40" t="s">
        <v>1056</v>
      </c>
      <c r="M40" t="s">
        <v>30</v>
      </c>
      <c r="N40" t="s">
        <v>21</v>
      </c>
      <c r="O40">
        <v>23.18</v>
      </c>
      <c r="P40" s="5">
        <v>185.44</v>
      </c>
      <c r="Q40" s="10">
        <v>0</v>
      </c>
      <c r="R40" s="19">
        <f>Table13[[#This Row],[Units]]*Table13[[#This Row],[UnitPrice]]*(1-Table13[[#This Row],[Discount Rate]])</f>
        <v>185.44</v>
      </c>
      <c r="S40" t="s">
        <v>1058</v>
      </c>
      <c r="T40">
        <f>IF(Table13[[#This Row],[Returned]]="N",0,1)</f>
        <v>0</v>
      </c>
    </row>
    <row r="41" spans="1:20" x14ac:dyDescent="0.35">
      <c r="A41">
        <v>20039</v>
      </c>
      <c r="B41" s="11">
        <v>45362</v>
      </c>
      <c r="C41" t="s">
        <v>100</v>
      </c>
      <c r="D41" t="s">
        <v>33</v>
      </c>
      <c r="E41" t="s">
        <v>34</v>
      </c>
      <c r="F41" t="s">
        <v>26</v>
      </c>
      <c r="G41" t="s">
        <v>43</v>
      </c>
      <c r="H41" s="18">
        <v>7</v>
      </c>
      <c r="I41" s="9">
        <v>457.72</v>
      </c>
      <c r="J41" s="9">
        <v>3204.02</v>
      </c>
      <c r="K41" s="5" t="s">
        <v>195</v>
      </c>
      <c r="L41" t="s">
        <v>1056</v>
      </c>
      <c r="M41" t="s">
        <v>30</v>
      </c>
      <c r="N41" t="s">
        <v>21</v>
      </c>
      <c r="O41">
        <v>457.72</v>
      </c>
      <c r="P41" s="5">
        <v>3204.04</v>
      </c>
      <c r="Q41" s="10">
        <v>0</v>
      </c>
      <c r="R41" s="19">
        <f>Table13[[#This Row],[Units]]*Table13[[#This Row],[UnitPrice]]*(1-Table13[[#This Row],[Discount Rate]])</f>
        <v>3204.04</v>
      </c>
      <c r="S41" t="s">
        <v>1058</v>
      </c>
      <c r="T41">
        <f>IF(Table13[[#This Row],[Returned]]="N",0,1)</f>
        <v>0</v>
      </c>
    </row>
    <row r="42" spans="1:20" x14ac:dyDescent="0.35">
      <c r="A42">
        <v>20040</v>
      </c>
      <c r="B42" s="11">
        <v>45356</v>
      </c>
      <c r="C42" t="s">
        <v>96</v>
      </c>
      <c r="D42" t="s">
        <v>49</v>
      </c>
      <c r="E42" t="s">
        <v>42</v>
      </c>
      <c r="F42" t="s">
        <v>17</v>
      </c>
      <c r="G42" t="s">
        <v>43</v>
      </c>
      <c r="H42" s="18">
        <v>6</v>
      </c>
      <c r="I42" s="9">
        <v>185.27</v>
      </c>
      <c r="J42" s="9">
        <v>1000.47</v>
      </c>
      <c r="K42" s="5" t="s">
        <v>198</v>
      </c>
      <c r="L42" t="s">
        <v>72</v>
      </c>
      <c r="M42" t="s">
        <v>60</v>
      </c>
      <c r="N42" t="s">
        <v>21</v>
      </c>
      <c r="O42">
        <v>185.27</v>
      </c>
      <c r="P42" s="5">
        <v>1000.4580000000001</v>
      </c>
      <c r="Q42" s="10">
        <v>0.1</v>
      </c>
      <c r="R42" s="19">
        <f>Table13[[#This Row],[Units]]*Table13[[#This Row],[UnitPrice]]*(1-Table13[[#This Row],[Discount Rate]])</f>
        <v>1000.4580000000001</v>
      </c>
      <c r="S42" t="s">
        <v>1058</v>
      </c>
      <c r="T42">
        <f>IF(Table13[[#This Row],[Returned]]="N",0,1)</f>
        <v>0</v>
      </c>
    </row>
    <row r="43" spans="1:20" x14ac:dyDescent="0.35">
      <c r="A43">
        <v>20041</v>
      </c>
      <c r="B43" s="11">
        <v>45329</v>
      </c>
      <c r="C43" t="s">
        <v>225</v>
      </c>
      <c r="D43" t="s">
        <v>89</v>
      </c>
      <c r="E43" t="s">
        <v>56</v>
      </c>
      <c r="F43" t="s">
        <v>17</v>
      </c>
      <c r="G43" t="s">
        <v>35</v>
      </c>
      <c r="H43" s="18">
        <v>14</v>
      </c>
      <c r="I43" s="9">
        <v>848</v>
      </c>
      <c r="J43" s="9">
        <v>11876.84</v>
      </c>
      <c r="K43" s="5" t="s">
        <v>202</v>
      </c>
      <c r="L43" t="s">
        <v>1056</v>
      </c>
      <c r="M43" t="s">
        <v>30</v>
      </c>
      <c r="N43" t="s">
        <v>21</v>
      </c>
      <c r="O43">
        <v>848</v>
      </c>
      <c r="P43" s="5">
        <v>11872</v>
      </c>
      <c r="Q43" s="10">
        <v>0</v>
      </c>
      <c r="R43" s="19">
        <f>Table13[[#This Row],[Units]]*Table13[[#This Row],[UnitPrice]]*(1-Table13[[#This Row],[Discount Rate]])</f>
        <v>11872</v>
      </c>
      <c r="S43" t="s">
        <v>1058</v>
      </c>
      <c r="T43">
        <f>IF(Table13[[#This Row],[Returned]]="N",0,1)</f>
        <v>0</v>
      </c>
    </row>
    <row r="44" spans="1:20" x14ac:dyDescent="0.35">
      <c r="A44">
        <v>20042</v>
      </c>
      <c r="B44" s="11">
        <v>45363</v>
      </c>
      <c r="C44" t="s">
        <v>652</v>
      </c>
      <c r="D44" t="s">
        <v>41</v>
      </c>
      <c r="E44" t="s">
        <v>69</v>
      </c>
      <c r="F44" t="s">
        <v>26</v>
      </c>
      <c r="G44" t="s">
        <v>43</v>
      </c>
      <c r="H44" s="18">
        <v>15</v>
      </c>
      <c r="I44" s="9">
        <v>33.69</v>
      </c>
      <c r="J44" s="9">
        <v>505.32</v>
      </c>
      <c r="K44" s="5" t="s">
        <v>205</v>
      </c>
      <c r="L44" t="s">
        <v>1056</v>
      </c>
      <c r="M44" t="s">
        <v>60</v>
      </c>
      <c r="N44" t="s">
        <v>21</v>
      </c>
      <c r="O44">
        <v>33.69</v>
      </c>
      <c r="P44" s="5">
        <v>505.34999999999997</v>
      </c>
      <c r="Q44" s="10">
        <v>0</v>
      </c>
      <c r="R44" s="19">
        <f>Table13[[#This Row],[Units]]*Table13[[#This Row],[UnitPrice]]*(1-Table13[[#This Row],[Discount Rate]])</f>
        <v>505.34999999999997</v>
      </c>
      <c r="S44" t="s">
        <v>1058</v>
      </c>
      <c r="T44">
        <f>IF(Table13[[#This Row],[Returned]]="N",0,1)</f>
        <v>0</v>
      </c>
    </row>
    <row r="45" spans="1:20" x14ac:dyDescent="0.35">
      <c r="A45">
        <v>20043</v>
      </c>
      <c r="B45" s="11">
        <v>45370</v>
      </c>
      <c r="C45" t="s">
        <v>100</v>
      </c>
      <c r="D45" t="s">
        <v>33</v>
      </c>
      <c r="E45" t="s">
        <v>56</v>
      </c>
      <c r="F45" t="s">
        <v>17</v>
      </c>
      <c r="G45" t="s">
        <v>35</v>
      </c>
      <c r="H45" s="18">
        <v>19</v>
      </c>
      <c r="I45" s="9">
        <v>801.17</v>
      </c>
      <c r="J45" s="9">
        <v>15222.15</v>
      </c>
      <c r="K45" s="5" t="s">
        <v>208</v>
      </c>
      <c r="L45" t="s">
        <v>1056</v>
      </c>
      <c r="M45" t="s">
        <v>60</v>
      </c>
      <c r="N45" t="s">
        <v>21</v>
      </c>
      <c r="O45">
        <v>801.17</v>
      </c>
      <c r="P45" s="5">
        <v>15222.23</v>
      </c>
      <c r="Q45" s="10">
        <v>0</v>
      </c>
      <c r="R45" s="19">
        <f>Table13[[#This Row],[Units]]*Table13[[#This Row],[UnitPrice]]*(1-Table13[[#This Row],[Discount Rate]])</f>
        <v>15222.23</v>
      </c>
      <c r="S45" t="s">
        <v>1058</v>
      </c>
      <c r="T45">
        <f>IF(Table13[[#This Row],[Returned]]="N",0,1)</f>
        <v>0</v>
      </c>
    </row>
    <row r="46" spans="1:20" x14ac:dyDescent="0.35">
      <c r="A46">
        <v>20044</v>
      </c>
      <c r="B46" s="11">
        <v>45302</v>
      </c>
      <c r="C46" t="s">
        <v>23</v>
      </c>
      <c r="D46" t="s">
        <v>24</v>
      </c>
      <c r="E46" t="s">
        <v>25</v>
      </c>
      <c r="F46" t="s">
        <v>126</v>
      </c>
      <c r="G46" t="s">
        <v>76</v>
      </c>
      <c r="H46" s="18">
        <v>19</v>
      </c>
      <c r="I46" s="9">
        <v>109.67</v>
      </c>
      <c r="J46" s="9">
        <v>2083.73</v>
      </c>
      <c r="K46" s="5" t="s">
        <v>211</v>
      </c>
      <c r="L46" t="s">
        <v>1056</v>
      </c>
      <c r="M46" t="s">
        <v>30</v>
      </c>
      <c r="N46" t="s">
        <v>21</v>
      </c>
      <c r="O46">
        <v>109.67</v>
      </c>
      <c r="P46" s="5">
        <v>2083.73</v>
      </c>
      <c r="Q46" s="10">
        <v>0</v>
      </c>
      <c r="R46" s="19">
        <f>Table13[[#This Row],[Units]]*Table13[[#This Row],[UnitPrice]]*(1-Table13[[#This Row],[Discount Rate]])</f>
        <v>2083.73</v>
      </c>
      <c r="S46" t="s">
        <v>1058</v>
      </c>
      <c r="T46">
        <f>IF(Table13[[#This Row],[Returned]]="N",0,1)</f>
        <v>0</v>
      </c>
    </row>
    <row r="47" spans="1:20" x14ac:dyDescent="0.35">
      <c r="A47">
        <v>20045</v>
      </c>
      <c r="B47" s="11">
        <v>45292</v>
      </c>
      <c r="C47" t="s">
        <v>100</v>
      </c>
      <c r="D47" t="s">
        <v>68</v>
      </c>
      <c r="E47" t="s">
        <v>101</v>
      </c>
      <c r="F47" t="s">
        <v>17</v>
      </c>
      <c r="G47" t="s">
        <v>57</v>
      </c>
      <c r="H47" s="18">
        <v>17</v>
      </c>
      <c r="I47" s="9">
        <v>129.1</v>
      </c>
      <c r="J47" s="9">
        <v>1755.83</v>
      </c>
      <c r="K47" s="5" t="s">
        <v>214</v>
      </c>
      <c r="L47" t="s">
        <v>116</v>
      </c>
      <c r="M47" t="s">
        <v>60</v>
      </c>
      <c r="N47" t="s">
        <v>151</v>
      </c>
      <c r="O47">
        <v>129.1</v>
      </c>
      <c r="P47" s="5">
        <v>1755.76</v>
      </c>
      <c r="Q47" s="10">
        <v>0.2</v>
      </c>
      <c r="R47" s="19">
        <f>Table13[[#This Row],[Units]]*Table13[[#This Row],[UnitPrice]]*(1-Table13[[#This Row],[Discount Rate]])</f>
        <v>1755.76</v>
      </c>
      <c r="S47" t="s">
        <v>1058</v>
      </c>
      <c r="T47">
        <f>IF(Table13[[#This Row],[Returned]]="N",0,1)</f>
        <v>1</v>
      </c>
    </row>
    <row r="48" spans="1:20" x14ac:dyDescent="0.35">
      <c r="A48">
        <v>20046</v>
      </c>
      <c r="B48" s="11">
        <v>45338</v>
      </c>
      <c r="C48" t="s">
        <v>225</v>
      </c>
      <c r="D48" t="s">
        <v>89</v>
      </c>
      <c r="E48" t="s">
        <v>107</v>
      </c>
      <c r="F48" t="s">
        <v>26</v>
      </c>
      <c r="G48" t="s">
        <v>76</v>
      </c>
      <c r="H48" s="18">
        <v>1</v>
      </c>
      <c r="I48" s="9">
        <v>256.36</v>
      </c>
      <c r="J48" s="9">
        <v>256.36</v>
      </c>
      <c r="K48" s="5" t="s">
        <v>216</v>
      </c>
      <c r="L48" t="s">
        <v>1056</v>
      </c>
      <c r="M48" t="s">
        <v>30</v>
      </c>
      <c r="N48" t="s">
        <v>21</v>
      </c>
      <c r="O48">
        <v>256.36</v>
      </c>
      <c r="P48" s="5">
        <v>256.36</v>
      </c>
      <c r="Q48" s="10">
        <v>0</v>
      </c>
      <c r="R48" s="19">
        <f>Table13[[#This Row],[Units]]*Table13[[#This Row],[UnitPrice]]*(1-Table13[[#This Row],[Discount Rate]])</f>
        <v>256.36</v>
      </c>
      <c r="S48" t="s">
        <v>1058</v>
      </c>
      <c r="T48">
        <f>IF(Table13[[#This Row],[Returned]]="N",0,1)</f>
        <v>0</v>
      </c>
    </row>
    <row r="49" spans="1:20" x14ac:dyDescent="0.35">
      <c r="A49">
        <v>20047</v>
      </c>
      <c r="B49" s="11">
        <v>45372</v>
      </c>
      <c r="C49" t="s">
        <v>23</v>
      </c>
      <c r="D49" t="s">
        <v>24</v>
      </c>
      <c r="E49" t="s">
        <v>16</v>
      </c>
      <c r="F49" t="s">
        <v>17</v>
      </c>
      <c r="G49" t="s">
        <v>35</v>
      </c>
      <c r="H49" s="18">
        <v>17</v>
      </c>
      <c r="I49" s="9">
        <v>35.21</v>
      </c>
      <c r="J49" s="9">
        <v>508.85</v>
      </c>
      <c r="K49" s="5" t="s">
        <v>219</v>
      </c>
      <c r="L49" t="s">
        <v>220</v>
      </c>
      <c r="M49" t="s">
        <v>30</v>
      </c>
      <c r="N49" t="s">
        <v>21</v>
      </c>
      <c r="O49">
        <v>35.21</v>
      </c>
      <c r="P49" s="5">
        <v>508.78450000000004</v>
      </c>
      <c r="Q49" s="10">
        <v>0.15</v>
      </c>
      <c r="R49" s="19">
        <f>Table13[[#This Row],[Units]]*Table13[[#This Row],[UnitPrice]]*(1-Table13[[#This Row],[Discount Rate]])</f>
        <v>508.78450000000004</v>
      </c>
      <c r="S49" t="s">
        <v>1058</v>
      </c>
      <c r="T49">
        <f>IF(Table13[[#This Row],[Returned]]="N",0,1)</f>
        <v>0</v>
      </c>
    </row>
    <row r="50" spans="1:20" x14ac:dyDescent="0.35">
      <c r="A50">
        <v>20048</v>
      </c>
      <c r="B50" s="11">
        <v>45297</v>
      </c>
      <c r="C50" t="s">
        <v>84</v>
      </c>
      <c r="D50" t="s">
        <v>170</v>
      </c>
      <c r="E50" t="s">
        <v>42</v>
      </c>
      <c r="F50" t="s">
        <v>17</v>
      </c>
      <c r="G50" t="s">
        <v>43</v>
      </c>
      <c r="H50" s="18">
        <v>10</v>
      </c>
      <c r="I50" s="9">
        <v>203.66</v>
      </c>
      <c r="J50" s="9">
        <v>1832.91</v>
      </c>
      <c r="K50" s="5" t="s">
        <v>223</v>
      </c>
      <c r="L50" t="s">
        <v>72</v>
      </c>
      <c r="M50" t="s">
        <v>30</v>
      </c>
      <c r="N50" t="s">
        <v>21</v>
      </c>
      <c r="O50">
        <v>203.66</v>
      </c>
      <c r="P50" s="5">
        <v>1832.94</v>
      </c>
      <c r="Q50" s="10">
        <v>0.1</v>
      </c>
      <c r="R50" s="19">
        <f>Table13[[#This Row],[Units]]*Table13[[#This Row],[UnitPrice]]*(1-Table13[[#This Row],[Discount Rate]])</f>
        <v>1832.94</v>
      </c>
      <c r="S50" t="s">
        <v>1058</v>
      </c>
      <c r="T50">
        <f>IF(Table13[[#This Row],[Returned]]="N",0,1)</f>
        <v>0</v>
      </c>
    </row>
    <row r="51" spans="1:20" x14ac:dyDescent="0.35">
      <c r="A51">
        <v>20049</v>
      </c>
      <c r="B51" s="11">
        <v>45372</v>
      </c>
      <c r="C51" t="s">
        <v>225</v>
      </c>
      <c r="D51" t="s">
        <v>113</v>
      </c>
      <c r="E51" t="s">
        <v>50</v>
      </c>
      <c r="F51" t="s">
        <v>17</v>
      </c>
      <c r="G51" t="s">
        <v>35</v>
      </c>
      <c r="H51" s="18">
        <v>3</v>
      </c>
      <c r="I51" s="9">
        <v>420.53</v>
      </c>
      <c r="J51" s="9">
        <v>1262</v>
      </c>
      <c r="K51" s="5" t="s">
        <v>227</v>
      </c>
      <c r="L51" t="s">
        <v>1056</v>
      </c>
      <c r="M51" t="s">
        <v>30</v>
      </c>
      <c r="N51" t="s">
        <v>21</v>
      </c>
      <c r="O51">
        <v>420.53</v>
      </c>
      <c r="P51" s="5">
        <v>1261.5899999999999</v>
      </c>
      <c r="Q51" s="10">
        <v>0</v>
      </c>
      <c r="R51" s="19">
        <f>Table13[[#This Row],[Units]]*Table13[[#This Row],[UnitPrice]]*(1-Table13[[#This Row],[Discount Rate]])</f>
        <v>1261.5899999999999</v>
      </c>
      <c r="S51" t="s">
        <v>1058</v>
      </c>
      <c r="T51">
        <f>IF(Table13[[#This Row],[Returned]]="N",0,1)</f>
        <v>0</v>
      </c>
    </row>
    <row r="52" spans="1:20" x14ac:dyDescent="0.35">
      <c r="A52">
        <v>20050</v>
      </c>
      <c r="B52" s="11">
        <v>45377</v>
      </c>
      <c r="C52" t="s">
        <v>96</v>
      </c>
      <c r="D52" t="s">
        <v>49</v>
      </c>
      <c r="E52" t="s">
        <v>50</v>
      </c>
      <c r="F52" t="s">
        <v>17</v>
      </c>
      <c r="G52" t="s">
        <v>18</v>
      </c>
      <c r="H52" s="18">
        <v>23</v>
      </c>
      <c r="I52" s="9">
        <v>467.86</v>
      </c>
      <c r="J52" s="9">
        <v>8608.68</v>
      </c>
      <c r="K52" s="5" t="s">
        <v>230</v>
      </c>
      <c r="L52" t="s">
        <v>116</v>
      </c>
      <c r="M52" t="s">
        <v>60</v>
      </c>
      <c r="N52" t="s">
        <v>21</v>
      </c>
      <c r="O52">
        <v>467.86</v>
      </c>
      <c r="P52" s="5">
        <v>8608.6240000000016</v>
      </c>
      <c r="Q52" s="10">
        <v>0.2</v>
      </c>
      <c r="R52" s="19">
        <f>Table13[[#This Row],[Units]]*Table13[[#This Row],[UnitPrice]]*(1-Table13[[#This Row],[Discount Rate]])</f>
        <v>8608.6240000000016</v>
      </c>
      <c r="S52" t="s">
        <v>1063</v>
      </c>
      <c r="T52">
        <f>IF(Table13[[#This Row],[Returned]]="N",0,1)</f>
        <v>0</v>
      </c>
    </row>
    <row r="53" spans="1:20" x14ac:dyDescent="0.35">
      <c r="A53">
        <v>20051</v>
      </c>
      <c r="B53" s="11">
        <v>45348</v>
      </c>
      <c r="C53" t="s">
        <v>100</v>
      </c>
      <c r="D53" t="s">
        <v>141</v>
      </c>
      <c r="E53" t="s">
        <v>16</v>
      </c>
      <c r="F53" t="s">
        <v>17</v>
      </c>
      <c r="G53" t="s">
        <v>76</v>
      </c>
      <c r="H53" s="18">
        <v>10</v>
      </c>
      <c r="I53" s="9">
        <v>32.21</v>
      </c>
      <c r="J53" s="9">
        <v>289.87</v>
      </c>
      <c r="K53" s="5" t="s">
        <v>232</v>
      </c>
      <c r="L53" t="s">
        <v>72</v>
      </c>
      <c r="M53" t="s">
        <v>30</v>
      </c>
      <c r="N53" t="s">
        <v>21</v>
      </c>
      <c r="O53">
        <v>32.21</v>
      </c>
      <c r="P53" s="5">
        <v>289.89000000000004</v>
      </c>
      <c r="Q53" s="10">
        <v>0.1</v>
      </c>
      <c r="R53" s="19">
        <f>Table13[[#This Row],[Units]]*Table13[[#This Row],[UnitPrice]]*(1-Table13[[#This Row],[Discount Rate]])</f>
        <v>289.89000000000004</v>
      </c>
      <c r="S53" t="s">
        <v>1058</v>
      </c>
      <c r="T53">
        <f>IF(Table13[[#This Row],[Returned]]="N",0,1)</f>
        <v>0</v>
      </c>
    </row>
    <row r="54" spans="1:20" x14ac:dyDescent="0.35">
      <c r="A54">
        <v>20052</v>
      </c>
      <c r="B54" s="11">
        <v>45324</v>
      </c>
      <c r="C54" t="s">
        <v>23</v>
      </c>
      <c r="D54" t="s">
        <v>15</v>
      </c>
      <c r="E54" t="s">
        <v>85</v>
      </c>
      <c r="F54" t="s">
        <v>17</v>
      </c>
      <c r="G54" t="s">
        <v>27</v>
      </c>
      <c r="H54" s="18">
        <v>16</v>
      </c>
      <c r="I54" s="9">
        <v>61.02</v>
      </c>
      <c r="J54" s="9">
        <v>976.36</v>
      </c>
      <c r="K54" s="5" t="s">
        <v>235</v>
      </c>
      <c r="L54" t="s">
        <v>1056</v>
      </c>
      <c r="M54" t="s">
        <v>30</v>
      </c>
      <c r="N54" t="s">
        <v>21</v>
      </c>
      <c r="O54">
        <v>61.02</v>
      </c>
      <c r="P54" s="5">
        <v>976.32</v>
      </c>
      <c r="Q54" s="10">
        <v>0</v>
      </c>
      <c r="R54" s="19">
        <f>Table13[[#This Row],[Units]]*Table13[[#This Row],[UnitPrice]]*(1-Table13[[#This Row],[Discount Rate]])</f>
        <v>976.32</v>
      </c>
      <c r="S54" t="s">
        <v>1058</v>
      </c>
      <c r="T54">
        <f>IF(Table13[[#This Row],[Returned]]="N",0,1)</f>
        <v>0</v>
      </c>
    </row>
    <row r="55" spans="1:20" x14ac:dyDescent="0.35">
      <c r="A55">
        <v>20053</v>
      </c>
      <c r="B55" s="11">
        <v>45304</v>
      </c>
      <c r="C55" t="s">
        <v>96</v>
      </c>
      <c r="D55" t="s">
        <v>49</v>
      </c>
      <c r="E55" t="s">
        <v>50</v>
      </c>
      <c r="F55" t="s">
        <v>17</v>
      </c>
      <c r="G55" t="s">
        <v>76</v>
      </c>
      <c r="H55" s="18">
        <v>17</v>
      </c>
      <c r="I55" s="9">
        <v>413</v>
      </c>
      <c r="J55" s="9">
        <v>7025.32</v>
      </c>
      <c r="K55" s="5" t="s">
        <v>238</v>
      </c>
      <c r="L55" t="s">
        <v>1056</v>
      </c>
      <c r="M55" t="s">
        <v>60</v>
      </c>
      <c r="N55" t="s">
        <v>21</v>
      </c>
      <c r="O55">
        <v>413</v>
      </c>
      <c r="P55" s="5">
        <v>7021</v>
      </c>
      <c r="Q55" s="10">
        <v>0</v>
      </c>
      <c r="R55" s="19">
        <f>Table13[[#This Row],[Units]]*Table13[[#This Row],[UnitPrice]]*(1-Table13[[#This Row],[Discount Rate]])</f>
        <v>7021</v>
      </c>
      <c r="S55" t="s">
        <v>1058</v>
      </c>
      <c r="T55">
        <f>IF(Table13[[#This Row],[Returned]]="N",0,1)</f>
        <v>0</v>
      </c>
    </row>
    <row r="56" spans="1:20" x14ac:dyDescent="0.35">
      <c r="A56">
        <v>20054</v>
      </c>
      <c r="B56" s="11">
        <v>45357</v>
      </c>
      <c r="C56" t="s">
        <v>652</v>
      </c>
      <c r="D56" t="s">
        <v>41</v>
      </c>
      <c r="E56" t="s">
        <v>69</v>
      </c>
      <c r="F56" t="s">
        <v>26</v>
      </c>
      <c r="G56" t="s">
        <v>27</v>
      </c>
      <c r="H56" s="18">
        <v>7</v>
      </c>
      <c r="I56" s="9">
        <v>35.340000000000003</v>
      </c>
      <c r="J56" s="9">
        <v>197.91</v>
      </c>
      <c r="K56" s="5" t="s">
        <v>240</v>
      </c>
      <c r="L56" t="s">
        <v>241</v>
      </c>
      <c r="M56" t="s">
        <v>60</v>
      </c>
      <c r="N56" t="s">
        <v>21</v>
      </c>
      <c r="O56">
        <v>35.340000000000003</v>
      </c>
      <c r="P56" s="5">
        <v>197.90400000000002</v>
      </c>
      <c r="Q56" s="10">
        <v>0.2</v>
      </c>
      <c r="R56" s="19">
        <f>Table13[[#This Row],[Units]]*Table13[[#This Row],[UnitPrice]]*(1-Table13[[#This Row],[Discount Rate]])</f>
        <v>197.90400000000002</v>
      </c>
      <c r="S56" t="s">
        <v>1058</v>
      </c>
      <c r="T56">
        <f>IF(Table13[[#This Row],[Returned]]="N",0,1)</f>
        <v>0</v>
      </c>
    </row>
    <row r="57" spans="1:20" x14ac:dyDescent="0.35">
      <c r="A57">
        <v>20055</v>
      </c>
      <c r="B57" s="11">
        <v>45366</v>
      </c>
      <c r="C57" t="s">
        <v>225</v>
      </c>
      <c r="D57" t="s">
        <v>89</v>
      </c>
      <c r="E57" t="s">
        <v>85</v>
      </c>
      <c r="F57" t="s">
        <v>17</v>
      </c>
      <c r="G57" t="s">
        <v>76</v>
      </c>
      <c r="H57" s="18">
        <v>17</v>
      </c>
      <c r="I57" s="9">
        <v>65</v>
      </c>
      <c r="J57" s="9">
        <v>1370.54</v>
      </c>
      <c r="K57" s="5" t="s">
        <v>244</v>
      </c>
      <c r="L57" t="s">
        <v>1056</v>
      </c>
      <c r="M57" t="s">
        <v>30</v>
      </c>
      <c r="N57" t="s">
        <v>151</v>
      </c>
      <c r="O57">
        <v>65</v>
      </c>
      <c r="P57" s="5">
        <v>1105</v>
      </c>
      <c r="Q57" s="10">
        <v>0</v>
      </c>
      <c r="R57" s="19">
        <f>Table13[[#This Row],[Units]]*Table13[[#This Row],[UnitPrice]]*(1-Table13[[#This Row],[Discount Rate]])</f>
        <v>1105</v>
      </c>
      <c r="S57" t="s">
        <v>1058</v>
      </c>
      <c r="T57">
        <f>IF(Table13[[#This Row],[Returned]]="N",0,1)</f>
        <v>1</v>
      </c>
    </row>
    <row r="58" spans="1:20" x14ac:dyDescent="0.35">
      <c r="A58">
        <v>20056</v>
      </c>
      <c r="B58" s="11">
        <v>45298</v>
      </c>
      <c r="C58" t="s">
        <v>96</v>
      </c>
      <c r="D58" t="s">
        <v>49</v>
      </c>
      <c r="E58" t="s">
        <v>34</v>
      </c>
      <c r="F58" t="s">
        <v>26</v>
      </c>
      <c r="G58" t="s">
        <v>27</v>
      </c>
      <c r="H58" s="18">
        <v>15</v>
      </c>
      <c r="I58" s="9">
        <v>381.68</v>
      </c>
      <c r="J58" s="9">
        <v>5725.2</v>
      </c>
      <c r="K58" s="5" t="s">
        <v>248</v>
      </c>
      <c r="L58" t="s">
        <v>1056</v>
      </c>
      <c r="M58" t="s">
        <v>60</v>
      </c>
      <c r="N58" t="s">
        <v>21</v>
      </c>
      <c r="O58">
        <v>381.68</v>
      </c>
      <c r="P58" s="5">
        <v>5725.2</v>
      </c>
      <c r="Q58" s="10">
        <v>0</v>
      </c>
      <c r="R58" s="19">
        <f>Table13[[#This Row],[Units]]*Table13[[#This Row],[UnitPrice]]*(1-Table13[[#This Row],[Discount Rate]])</f>
        <v>5725.2</v>
      </c>
      <c r="S58" t="s">
        <v>1058</v>
      </c>
      <c r="T58">
        <f>IF(Table13[[#This Row],[Returned]]="N",0,1)</f>
        <v>0</v>
      </c>
    </row>
    <row r="59" spans="1:20" x14ac:dyDescent="0.35">
      <c r="A59">
        <v>20057</v>
      </c>
      <c r="B59" s="11">
        <v>45348</v>
      </c>
      <c r="C59" t="s">
        <v>100</v>
      </c>
      <c r="D59" t="s">
        <v>68</v>
      </c>
      <c r="E59" t="s">
        <v>42</v>
      </c>
      <c r="F59" t="s">
        <v>17</v>
      </c>
      <c r="G59" t="s">
        <v>43</v>
      </c>
      <c r="H59" s="18">
        <v>17</v>
      </c>
      <c r="I59" s="9">
        <v>209.08</v>
      </c>
      <c r="J59" s="9">
        <v>3554.42</v>
      </c>
      <c r="K59" s="5" t="s">
        <v>251</v>
      </c>
      <c r="L59" t="s">
        <v>1056</v>
      </c>
      <c r="M59" t="s">
        <v>60</v>
      </c>
      <c r="N59" t="s">
        <v>21</v>
      </c>
      <c r="O59">
        <v>209.08</v>
      </c>
      <c r="P59" s="5">
        <v>3554.36</v>
      </c>
      <c r="Q59" s="10">
        <v>0</v>
      </c>
      <c r="R59" s="19">
        <f>Table13[[#This Row],[Units]]*Table13[[#This Row],[UnitPrice]]*(1-Table13[[#This Row],[Discount Rate]])</f>
        <v>3554.36</v>
      </c>
      <c r="S59" t="s">
        <v>1058</v>
      </c>
      <c r="T59">
        <f>IF(Table13[[#This Row],[Returned]]="N",0,1)</f>
        <v>0</v>
      </c>
    </row>
    <row r="60" spans="1:20" x14ac:dyDescent="0.35">
      <c r="A60">
        <v>20058</v>
      </c>
      <c r="B60" s="11">
        <v>45301</v>
      </c>
      <c r="C60" t="s">
        <v>100</v>
      </c>
      <c r="D60" t="s">
        <v>141</v>
      </c>
      <c r="E60" t="s">
        <v>34</v>
      </c>
      <c r="F60" t="s">
        <v>26</v>
      </c>
      <c r="G60" t="s">
        <v>27</v>
      </c>
      <c r="H60" s="18">
        <v>6</v>
      </c>
      <c r="I60" s="9">
        <v>389.99</v>
      </c>
      <c r="J60" s="9">
        <v>2105.96</v>
      </c>
      <c r="K60" s="5" t="s">
        <v>254</v>
      </c>
      <c r="L60" t="s">
        <v>72</v>
      </c>
      <c r="M60" t="s">
        <v>30</v>
      </c>
      <c r="N60" t="s">
        <v>21</v>
      </c>
      <c r="O60">
        <v>389.99</v>
      </c>
      <c r="P60" s="5">
        <v>2105.9459999999999</v>
      </c>
      <c r="Q60" s="10">
        <v>0.1</v>
      </c>
      <c r="R60" s="19">
        <f>Table13[[#This Row],[Units]]*Table13[[#This Row],[UnitPrice]]*(1-Table13[[#This Row],[Discount Rate]])</f>
        <v>2105.9459999999999</v>
      </c>
      <c r="S60" t="s">
        <v>1058</v>
      </c>
      <c r="T60">
        <f>IF(Table13[[#This Row],[Returned]]="N",0,1)</f>
        <v>0</v>
      </c>
    </row>
    <row r="61" spans="1:20" x14ac:dyDescent="0.35">
      <c r="A61">
        <v>20059</v>
      </c>
      <c r="B61" s="11">
        <v>45332</v>
      </c>
      <c r="C61" t="s">
        <v>23</v>
      </c>
      <c r="D61" t="s">
        <v>177</v>
      </c>
      <c r="E61" t="s">
        <v>85</v>
      </c>
      <c r="F61" t="s">
        <v>17</v>
      </c>
      <c r="G61" t="s">
        <v>57</v>
      </c>
      <c r="H61" s="18">
        <v>9</v>
      </c>
      <c r="I61" s="9">
        <v>67.650000000000006</v>
      </c>
      <c r="J61" s="9">
        <v>518</v>
      </c>
      <c r="K61" s="5" t="s">
        <v>257</v>
      </c>
      <c r="L61" t="s">
        <v>220</v>
      </c>
      <c r="M61" t="s">
        <v>30</v>
      </c>
      <c r="N61" t="s">
        <v>21</v>
      </c>
      <c r="O61">
        <v>67.650000000000006</v>
      </c>
      <c r="P61" s="5">
        <v>517.52250000000004</v>
      </c>
      <c r="Q61" s="10">
        <v>0.15</v>
      </c>
      <c r="R61" s="19">
        <f>Table13[[#This Row],[Units]]*Table13[[#This Row],[UnitPrice]]*(1-Table13[[#This Row],[Discount Rate]])</f>
        <v>517.52250000000004</v>
      </c>
      <c r="S61" t="s">
        <v>1058</v>
      </c>
      <c r="T61">
        <f>IF(Table13[[#This Row],[Returned]]="N",0,1)</f>
        <v>0</v>
      </c>
    </row>
    <row r="62" spans="1:20" x14ac:dyDescent="0.35">
      <c r="A62">
        <v>20060</v>
      </c>
      <c r="B62" s="11">
        <v>45344</v>
      </c>
      <c r="C62" t="s">
        <v>23</v>
      </c>
      <c r="D62" t="s">
        <v>24</v>
      </c>
      <c r="E62" t="s">
        <v>85</v>
      </c>
      <c r="F62" t="s">
        <v>17</v>
      </c>
      <c r="G62" t="s">
        <v>43</v>
      </c>
      <c r="H62" s="18">
        <v>18</v>
      </c>
      <c r="I62" s="9">
        <v>58.84</v>
      </c>
      <c r="J62" s="9">
        <v>1059.1500000000001</v>
      </c>
      <c r="K62" s="5" t="s">
        <v>259</v>
      </c>
      <c r="L62" t="s">
        <v>1056</v>
      </c>
      <c r="M62" t="s">
        <v>60</v>
      </c>
      <c r="N62" t="s">
        <v>21</v>
      </c>
      <c r="O62">
        <v>58.84</v>
      </c>
      <c r="P62" s="5">
        <v>1059.1200000000001</v>
      </c>
      <c r="Q62" s="10">
        <v>0</v>
      </c>
      <c r="R62" s="19">
        <f>Table13[[#This Row],[Units]]*Table13[[#This Row],[UnitPrice]]*(1-Table13[[#This Row],[Discount Rate]])</f>
        <v>1059.1200000000001</v>
      </c>
      <c r="S62" t="s">
        <v>1058</v>
      </c>
      <c r="T62">
        <f>IF(Table13[[#This Row],[Returned]]="N",0,1)</f>
        <v>0</v>
      </c>
    </row>
    <row r="63" spans="1:20" x14ac:dyDescent="0.35">
      <c r="A63">
        <v>20061</v>
      </c>
      <c r="B63" s="11">
        <v>45360</v>
      </c>
      <c r="C63" t="s">
        <v>225</v>
      </c>
      <c r="D63" t="s">
        <v>89</v>
      </c>
      <c r="E63" t="s">
        <v>42</v>
      </c>
      <c r="F63" t="s">
        <v>17</v>
      </c>
      <c r="G63" t="s">
        <v>43</v>
      </c>
      <c r="H63" s="18">
        <v>2</v>
      </c>
      <c r="I63" s="9">
        <v>200.72</v>
      </c>
      <c r="J63" s="9">
        <v>361.3</v>
      </c>
      <c r="K63" s="5" t="s">
        <v>262</v>
      </c>
      <c r="L63" t="s">
        <v>72</v>
      </c>
      <c r="M63" t="s">
        <v>30</v>
      </c>
      <c r="N63" t="s">
        <v>21</v>
      </c>
      <c r="O63">
        <v>200.72</v>
      </c>
      <c r="P63" s="5">
        <v>361.29599999999999</v>
      </c>
      <c r="Q63" s="10">
        <v>0.1</v>
      </c>
      <c r="R63" s="19">
        <f>Table13[[#This Row],[Units]]*Table13[[#This Row],[UnitPrice]]*(1-Table13[[#This Row],[Discount Rate]])</f>
        <v>361.29599999999999</v>
      </c>
      <c r="S63" t="s">
        <v>1058</v>
      </c>
      <c r="T63">
        <f>IF(Table13[[#This Row],[Returned]]="N",0,1)</f>
        <v>0</v>
      </c>
    </row>
    <row r="64" spans="1:20" x14ac:dyDescent="0.35">
      <c r="A64">
        <v>20062</v>
      </c>
      <c r="B64" s="11">
        <v>45299</v>
      </c>
      <c r="C64" t="s">
        <v>652</v>
      </c>
      <c r="D64" t="s">
        <v>121</v>
      </c>
      <c r="E64" t="s">
        <v>56</v>
      </c>
      <c r="F64" t="s">
        <v>17</v>
      </c>
      <c r="G64" t="s">
        <v>35</v>
      </c>
      <c r="H64" s="18">
        <v>19</v>
      </c>
      <c r="I64" s="9">
        <v>895.38</v>
      </c>
      <c r="J64" s="9">
        <v>17012.28</v>
      </c>
      <c r="K64" s="5" t="s">
        <v>266</v>
      </c>
      <c r="L64" t="s">
        <v>1056</v>
      </c>
      <c r="M64" t="s">
        <v>60</v>
      </c>
      <c r="N64" t="s">
        <v>21</v>
      </c>
      <c r="O64">
        <v>895.38</v>
      </c>
      <c r="P64" s="5">
        <v>17012.22</v>
      </c>
      <c r="Q64" s="10">
        <v>0</v>
      </c>
      <c r="R64" s="19">
        <f>Table13[[#This Row],[Units]]*Table13[[#This Row],[UnitPrice]]*(1-Table13[[#This Row],[Discount Rate]])</f>
        <v>17012.22</v>
      </c>
      <c r="S64" t="s">
        <v>1058</v>
      </c>
      <c r="T64">
        <f>IF(Table13[[#This Row],[Returned]]="N",0,1)</f>
        <v>0</v>
      </c>
    </row>
    <row r="65" spans="1:20" x14ac:dyDescent="0.35">
      <c r="A65">
        <v>20063</v>
      </c>
      <c r="B65" s="11">
        <v>45332</v>
      </c>
      <c r="C65" t="s">
        <v>100</v>
      </c>
      <c r="D65" t="s">
        <v>33</v>
      </c>
      <c r="E65" t="s">
        <v>25</v>
      </c>
      <c r="F65" t="s">
        <v>26</v>
      </c>
      <c r="G65" t="s">
        <v>76</v>
      </c>
      <c r="H65" s="18">
        <v>12</v>
      </c>
      <c r="I65" s="9">
        <v>110.55</v>
      </c>
      <c r="J65" s="9">
        <v>1193.92</v>
      </c>
      <c r="K65" s="5" t="s">
        <v>269</v>
      </c>
      <c r="L65" t="s">
        <v>72</v>
      </c>
      <c r="M65" t="s">
        <v>30</v>
      </c>
      <c r="N65" t="s">
        <v>21</v>
      </c>
      <c r="O65">
        <v>110.55</v>
      </c>
      <c r="P65" s="5">
        <v>1193.94</v>
      </c>
      <c r="Q65" s="10">
        <v>0.1</v>
      </c>
      <c r="R65" s="19">
        <f>Table13[[#This Row],[Units]]*Table13[[#This Row],[UnitPrice]]*(1-Table13[[#This Row],[Discount Rate]])</f>
        <v>1193.94</v>
      </c>
      <c r="S65" t="s">
        <v>1058</v>
      </c>
      <c r="T65">
        <f>IF(Table13[[#This Row],[Returned]]="N",0,1)</f>
        <v>0</v>
      </c>
    </row>
    <row r="66" spans="1:20" x14ac:dyDescent="0.35">
      <c r="A66">
        <v>20064</v>
      </c>
      <c r="B66" s="11">
        <v>45338</v>
      </c>
      <c r="C66" t="s">
        <v>100</v>
      </c>
      <c r="D66" t="s">
        <v>141</v>
      </c>
      <c r="E66" t="s">
        <v>107</v>
      </c>
      <c r="F66" t="s">
        <v>26</v>
      </c>
      <c r="G66" t="s">
        <v>43</v>
      </c>
      <c r="H66" s="18">
        <v>7</v>
      </c>
      <c r="I66" s="9">
        <v>254.72</v>
      </c>
      <c r="J66" s="9">
        <v>1783.07</v>
      </c>
      <c r="K66" s="5" t="s">
        <v>271</v>
      </c>
      <c r="L66" t="s">
        <v>1056</v>
      </c>
      <c r="M66" t="s">
        <v>30</v>
      </c>
      <c r="N66" t="s">
        <v>21</v>
      </c>
      <c r="O66">
        <v>254.72</v>
      </c>
      <c r="P66" s="5">
        <v>1783.04</v>
      </c>
      <c r="Q66" s="10">
        <v>0</v>
      </c>
      <c r="R66" s="19">
        <f>Table13[[#This Row],[Units]]*Table13[[#This Row],[UnitPrice]]*(1-Table13[[#This Row],[Discount Rate]])</f>
        <v>1783.04</v>
      </c>
      <c r="S66" t="s">
        <v>1058</v>
      </c>
      <c r="T66">
        <f>IF(Table13[[#This Row],[Returned]]="N",0,1)</f>
        <v>0</v>
      </c>
    </row>
    <row r="67" spans="1:20" x14ac:dyDescent="0.35">
      <c r="A67">
        <v>20065</v>
      </c>
      <c r="B67" s="11">
        <v>45358</v>
      </c>
      <c r="C67" t="s">
        <v>23</v>
      </c>
      <c r="D67" t="s">
        <v>177</v>
      </c>
      <c r="E67" t="s">
        <v>85</v>
      </c>
      <c r="F67" t="s">
        <v>17</v>
      </c>
      <c r="G67" t="s">
        <v>27</v>
      </c>
      <c r="H67" s="18">
        <v>20</v>
      </c>
      <c r="I67" s="9">
        <v>63.62</v>
      </c>
      <c r="J67" s="9">
        <v>1272.4100000000001</v>
      </c>
      <c r="K67" s="5" t="s">
        <v>274</v>
      </c>
      <c r="L67" t="s">
        <v>1056</v>
      </c>
      <c r="M67" t="s">
        <v>60</v>
      </c>
      <c r="N67" t="s">
        <v>21</v>
      </c>
      <c r="O67">
        <v>63.62</v>
      </c>
      <c r="P67" s="5">
        <v>1272.3999999999999</v>
      </c>
      <c r="Q67" s="10">
        <v>0</v>
      </c>
      <c r="R67" s="19">
        <f>Table13[[#This Row],[Units]]*Table13[[#This Row],[UnitPrice]]*(1-Table13[[#This Row],[Discount Rate]])</f>
        <v>1272.3999999999999</v>
      </c>
      <c r="S67" t="s">
        <v>1058</v>
      </c>
      <c r="T67">
        <f>IF(Table13[[#This Row],[Returned]]="N",0,1)</f>
        <v>0</v>
      </c>
    </row>
    <row r="68" spans="1:20" x14ac:dyDescent="0.35">
      <c r="A68">
        <v>20066</v>
      </c>
      <c r="B68" s="11">
        <v>45366</v>
      </c>
      <c r="C68" t="s">
        <v>100</v>
      </c>
      <c r="D68" t="s">
        <v>33</v>
      </c>
      <c r="E68" t="s">
        <v>142</v>
      </c>
      <c r="F68" t="s">
        <v>17</v>
      </c>
      <c r="G68" t="s">
        <v>18</v>
      </c>
      <c r="H68" s="18">
        <v>17</v>
      </c>
      <c r="I68" s="9">
        <v>181.16</v>
      </c>
      <c r="J68" s="9">
        <v>2464</v>
      </c>
      <c r="K68" s="5" t="s">
        <v>277</v>
      </c>
      <c r="L68" t="s">
        <v>116</v>
      </c>
      <c r="M68" t="s">
        <v>30</v>
      </c>
      <c r="N68" t="s">
        <v>21</v>
      </c>
      <c r="O68">
        <v>181.16</v>
      </c>
      <c r="P68" s="5">
        <v>2463.7759999999998</v>
      </c>
      <c r="Q68" s="10">
        <v>0.2</v>
      </c>
      <c r="R68" s="19">
        <f>Table13[[#This Row],[Units]]*Table13[[#This Row],[UnitPrice]]*(1-Table13[[#This Row],[Discount Rate]])</f>
        <v>2463.7759999999998</v>
      </c>
      <c r="S68" t="s">
        <v>1058</v>
      </c>
      <c r="T68">
        <f>IF(Table13[[#This Row],[Returned]]="N",0,1)</f>
        <v>0</v>
      </c>
    </row>
    <row r="69" spans="1:20" x14ac:dyDescent="0.35">
      <c r="A69">
        <v>20067</v>
      </c>
      <c r="B69" s="11">
        <v>45353</v>
      </c>
      <c r="C69" t="s">
        <v>225</v>
      </c>
      <c r="D69" t="s">
        <v>89</v>
      </c>
      <c r="E69" t="s">
        <v>34</v>
      </c>
      <c r="F69" t="s">
        <v>26</v>
      </c>
      <c r="G69" t="s">
        <v>18</v>
      </c>
      <c r="H69" s="18">
        <v>17</v>
      </c>
      <c r="I69" s="9">
        <v>404.35</v>
      </c>
      <c r="J69" s="9">
        <v>6873.95</v>
      </c>
      <c r="K69" s="5" t="s">
        <v>280</v>
      </c>
      <c r="L69" t="s">
        <v>1056</v>
      </c>
      <c r="M69" t="s">
        <v>60</v>
      </c>
      <c r="N69" t="s">
        <v>21</v>
      </c>
      <c r="O69">
        <v>404.35</v>
      </c>
      <c r="P69" s="5">
        <v>6873.9500000000007</v>
      </c>
      <c r="Q69" s="10">
        <v>0</v>
      </c>
      <c r="R69" s="19">
        <f>Table13[[#This Row],[Units]]*Table13[[#This Row],[UnitPrice]]*(1-Table13[[#This Row],[Discount Rate]])</f>
        <v>6873.9500000000007</v>
      </c>
      <c r="S69" t="s">
        <v>1058</v>
      </c>
      <c r="T69">
        <f>IF(Table13[[#This Row],[Returned]]="N",0,1)</f>
        <v>0</v>
      </c>
    </row>
    <row r="70" spans="1:20" x14ac:dyDescent="0.35">
      <c r="A70">
        <v>20068</v>
      </c>
      <c r="B70" s="11">
        <v>45336</v>
      </c>
      <c r="C70" t="s">
        <v>100</v>
      </c>
      <c r="D70" t="s">
        <v>33</v>
      </c>
      <c r="E70" t="s">
        <v>69</v>
      </c>
      <c r="F70" t="s">
        <v>26</v>
      </c>
      <c r="G70" t="s">
        <v>18</v>
      </c>
      <c r="H70" s="18">
        <v>18</v>
      </c>
      <c r="I70" s="9">
        <v>36.9</v>
      </c>
      <c r="J70" s="9">
        <v>664.17</v>
      </c>
      <c r="K70" s="5" t="s">
        <v>283</v>
      </c>
      <c r="L70" t="s">
        <v>1056</v>
      </c>
      <c r="M70" t="s">
        <v>60</v>
      </c>
      <c r="N70" t="s">
        <v>21</v>
      </c>
      <c r="O70">
        <v>36.9</v>
      </c>
      <c r="P70" s="5">
        <v>664.19999999999993</v>
      </c>
      <c r="Q70" s="10">
        <v>0</v>
      </c>
      <c r="R70" s="19">
        <f>Table13[[#This Row],[Units]]*Table13[[#This Row],[UnitPrice]]*(1-Table13[[#This Row],[Discount Rate]])</f>
        <v>664.19999999999993</v>
      </c>
      <c r="S70" t="s">
        <v>1058</v>
      </c>
      <c r="T70">
        <f>IF(Table13[[#This Row],[Returned]]="N",0,1)</f>
        <v>0</v>
      </c>
    </row>
    <row r="71" spans="1:20" x14ac:dyDescent="0.35">
      <c r="A71">
        <v>20069</v>
      </c>
      <c r="B71" s="11">
        <v>45362</v>
      </c>
      <c r="C71" t="s">
        <v>100</v>
      </c>
      <c r="D71" t="s">
        <v>33</v>
      </c>
      <c r="E71" t="s">
        <v>69</v>
      </c>
      <c r="F71" t="s">
        <v>26</v>
      </c>
      <c r="G71" t="s">
        <v>43</v>
      </c>
      <c r="H71" s="18">
        <v>9</v>
      </c>
      <c r="I71" s="9">
        <v>36.369999999999997</v>
      </c>
      <c r="J71" s="9">
        <v>294.62</v>
      </c>
      <c r="K71" s="5" t="s">
        <v>285</v>
      </c>
      <c r="L71" t="s">
        <v>72</v>
      </c>
      <c r="M71" t="s">
        <v>30</v>
      </c>
      <c r="N71" t="s">
        <v>21</v>
      </c>
      <c r="O71">
        <v>36.369999999999997</v>
      </c>
      <c r="P71" s="5">
        <v>294.59699999999998</v>
      </c>
      <c r="Q71" s="10">
        <v>0.1</v>
      </c>
      <c r="R71" s="19">
        <f>Table13[[#This Row],[Units]]*Table13[[#This Row],[UnitPrice]]*(1-Table13[[#This Row],[Discount Rate]])</f>
        <v>294.59699999999998</v>
      </c>
      <c r="S71" t="s">
        <v>1058</v>
      </c>
      <c r="T71">
        <f>IF(Table13[[#This Row],[Returned]]="N",0,1)</f>
        <v>0</v>
      </c>
    </row>
    <row r="72" spans="1:20" x14ac:dyDescent="0.35">
      <c r="A72">
        <v>20070</v>
      </c>
      <c r="B72" s="11">
        <v>45329</v>
      </c>
      <c r="C72" t="s">
        <v>23</v>
      </c>
      <c r="D72" t="s">
        <v>24</v>
      </c>
      <c r="E72" t="s">
        <v>166</v>
      </c>
      <c r="F72" t="s">
        <v>17</v>
      </c>
      <c r="G72" t="s">
        <v>57</v>
      </c>
      <c r="H72" s="18">
        <v>3</v>
      </c>
      <c r="I72" s="9">
        <v>23.66</v>
      </c>
      <c r="J72" s="9">
        <v>71</v>
      </c>
      <c r="K72" s="5" t="s">
        <v>288</v>
      </c>
      <c r="L72" t="s">
        <v>1056</v>
      </c>
      <c r="M72" t="s">
        <v>30</v>
      </c>
      <c r="N72" t="s">
        <v>21</v>
      </c>
      <c r="O72">
        <v>23.66</v>
      </c>
      <c r="P72" s="5">
        <v>70.98</v>
      </c>
      <c r="Q72" s="10">
        <v>0</v>
      </c>
      <c r="R72" s="19">
        <f>Table13[[#This Row],[Units]]*Table13[[#This Row],[UnitPrice]]*(1-Table13[[#This Row],[Discount Rate]])</f>
        <v>70.98</v>
      </c>
      <c r="S72" t="s">
        <v>1058</v>
      </c>
      <c r="T72">
        <f>IF(Table13[[#This Row],[Returned]]="N",0,1)</f>
        <v>0</v>
      </c>
    </row>
    <row r="73" spans="1:20" x14ac:dyDescent="0.35">
      <c r="A73">
        <v>20071</v>
      </c>
      <c r="B73" s="11">
        <v>45303</v>
      </c>
      <c r="C73" t="s">
        <v>23</v>
      </c>
      <c r="D73" t="s">
        <v>177</v>
      </c>
      <c r="E73" t="s">
        <v>42</v>
      </c>
      <c r="F73" t="s">
        <v>17</v>
      </c>
      <c r="G73" t="s">
        <v>57</v>
      </c>
      <c r="H73" s="18">
        <v>7</v>
      </c>
      <c r="I73" s="9">
        <v>193.23</v>
      </c>
      <c r="J73" s="9">
        <v>1217.33</v>
      </c>
      <c r="K73" s="5" t="s">
        <v>291</v>
      </c>
      <c r="L73" t="s">
        <v>72</v>
      </c>
      <c r="M73" t="s">
        <v>30</v>
      </c>
      <c r="N73" t="s">
        <v>21</v>
      </c>
      <c r="O73">
        <v>193.23</v>
      </c>
      <c r="P73" s="5">
        <v>1217.3489999999999</v>
      </c>
      <c r="Q73" s="10">
        <v>0.1</v>
      </c>
      <c r="R73" s="19">
        <f>Table13[[#This Row],[Units]]*Table13[[#This Row],[UnitPrice]]*(1-Table13[[#This Row],[Discount Rate]])</f>
        <v>1217.3489999999999</v>
      </c>
      <c r="S73" t="s">
        <v>1058</v>
      </c>
      <c r="T73">
        <f>IF(Table13[[#This Row],[Returned]]="N",0,1)</f>
        <v>0</v>
      </c>
    </row>
    <row r="74" spans="1:20" x14ac:dyDescent="0.35">
      <c r="A74">
        <v>20072</v>
      </c>
      <c r="B74" s="11">
        <v>45320</v>
      </c>
      <c r="C74" t="s">
        <v>23</v>
      </c>
      <c r="D74" t="s">
        <v>177</v>
      </c>
      <c r="E74" t="s">
        <v>16</v>
      </c>
      <c r="F74" t="s">
        <v>17</v>
      </c>
      <c r="G74" t="s">
        <v>18</v>
      </c>
      <c r="H74" s="18">
        <v>21</v>
      </c>
      <c r="I74" s="9">
        <v>31.58</v>
      </c>
      <c r="J74" s="9">
        <v>596.86</v>
      </c>
      <c r="K74" s="5" t="s">
        <v>294</v>
      </c>
      <c r="L74" t="s">
        <v>72</v>
      </c>
      <c r="M74" t="s">
        <v>60</v>
      </c>
      <c r="N74" t="s">
        <v>21</v>
      </c>
      <c r="O74">
        <v>31.58</v>
      </c>
      <c r="P74" s="5">
        <v>596.86199999999997</v>
      </c>
      <c r="Q74" s="10">
        <v>0.1</v>
      </c>
      <c r="R74" s="19">
        <f>Table13[[#This Row],[Units]]*Table13[[#This Row],[UnitPrice]]*(1-Table13[[#This Row],[Discount Rate]])</f>
        <v>596.86199999999997</v>
      </c>
      <c r="S74" t="s">
        <v>1058</v>
      </c>
      <c r="T74">
        <f>IF(Table13[[#This Row],[Returned]]="N",0,1)</f>
        <v>0</v>
      </c>
    </row>
    <row r="75" spans="1:20" x14ac:dyDescent="0.35">
      <c r="A75">
        <v>20073</v>
      </c>
      <c r="B75" s="11">
        <v>45348</v>
      </c>
      <c r="C75" t="s">
        <v>100</v>
      </c>
      <c r="D75" t="s">
        <v>33</v>
      </c>
      <c r="E75" t="s">
        <v>34</v>
      </c>
      <c r="F75" t="s">
        <v>26</v>
      </c>
      <c r="G75" t="s">
        <v>27</v>
      </c>
      <c r="H75" s="18">
        <v>20</v>
      </c>
      <c r="I75" s="9">
        <v>384.88</v>
      </c>
      <c r="J75" s="9">
        <v>7698</v>
      </c>
      <c r="K75" s="5" t="s">
        <v>296</v>
      </c>
      <c r="L75" t="s">
        <v>1056</v>
      </c>
      <c r="M75" t="s">
        <v>30</v>
      </c>
      <c r="N75" t="s">
        <v>21</v>
      </c>
      <c r="O75">
        <v>384.88</v>
      </c>
      <c r="P75" s="5">
        <v>7697.6</v>
      </c>
      <c r="Q75" s="10">
        <v>0</v>
      </c>
      <c r="R75" s="19">
        <f>Table13[[#This Row],[Units]]*Table13[[#This Row],[UnitPrice]]*(1-Table13[[#This Row],[Discount Rate]])</f>
        <v>7697.6</v>
      </c>
      <c r="S75" t="s">
        <v>1058</v>
      </c>
      <c r="T75">
        <f>IF(Table13[[#This Row],[Returned]]="N",0,1)</f>
        <v>0</v>
      </c>
    </row>
    <row r="76" spans="1:20" x14ac:dyDescent="0.35">
      <c r="A76">
        <v>20074</v>
      </c>
      <c r="B76" s="11">
        <v>45352</v>
      </c>
      <c r="C76" t="s">
        <v>100</v>
      </c>
      <c r="D76" t="s">
        <v>68</v>
      </c>
      <c r="E76" t="s">
        <v>42</v>
      </c>
      <c r="F76" t="s">
        <v>17</v>
      </c>
      <c r="G76" t="s">
        <v>76</v>
      </c>
      <c r="H76" s="18">
        <v>2</v>
      </c>
      <c r="I76" s="9">
        <v>200</v>
      </c>
      <c r="J76" s="9">
        <v>331.06</v>
      </c>
      <c r="K76" s="5" t="s">
        <v>298</v>
      </c>
      <c r="L76" t="s">
        <v>116</v>
      </c>
      <c r="M76" t="s">
        <v>30</v>
      </c>
      <c r="N76" t="s">
        <v>21</v>
      </c>
      <c r="O76">
        <v>200</v>
      </c>
      <c r="P76" s="5">
        <v>320</v>
      </c>
      <c r="Q76" s="10">
        <v>0.2</v>
      </c>
      <c r="R76" s="19">
        <f>Table13[[#This Row],[Units]]*Table13[[#This Row],[UnitPrice]]*(1-Table13[[#This Row],[Discount Rate]])</f>
        <v>320</v>
      </c>
      <c r="S76" t="s">
        <v>1058</v>
      </c>
      <c r="T76">
        <f>IF(Table13[[#This Row],[Returned]]="N",0,1)</f>
        <v>0</v>
      </c>
    </row>
    <row r="77" spans="1:20" x14ac:dyDescent="0.35">
      <c r="A77">
        <v>20075</v>
      </c>
      <c r="B77" s="11">
        <v>45346</v>
      </c>
      <c r="C77" t="s">
        <v>96</v>
      </c>
      <c r="D77" t="s">
        <v>49</v>
      </c>
      <c r="E77" t="s">
        <v>107</v>
      </c>
      <c r="F77" t="s">
        <v>26</v>
      </c>
      <c r="G77" t="s">
        <v>57</v>
      </c>
      <c r="H77" s="18">
        <v>24</v>
      </c>
      <c r="I77" s="9">
        <v>306</v>
      </c>
      <c r="J77" s="9">
        <v>6609.43</v>
      </c>
      <c r="K77" s="5" t="s">
        <v>302</v>
      </c>
      <c r="L77" t="s">
        <v>72</v>
      </c>
      <c r="M77" t="s">
        <v>60</v>
      </c>
      <c r="N77" t="s">
        <v>21</v>
      </c>
      <c r="O77">
        <v>306</v>
      </c>
      <c r="P77" s="5">
        <v>6609.6</v>
      </c>
      <c r="Q77" s="10">
        <v>0.1</v>
      </c>
      <c r="R77" s="19">
        <f>Table13[[#This Row],[Units]]*Table13[[#This Row],[UnitPrice]]*(1-Table13[[#This Row],[Discount Rate]])</f>
        <v>6609.6</v>
      </c>
      <c r="S77" t="s">
        <v>1058</v>
      </c>
      <c r="T77">
        <f>IF(Table13[[#This Row],[Returned]]="N",0,1)</f>
        <v>0</v>
      </c>
    </row>
    <row r="78" spans="1:20" x14ac:dyDescent="0.35">
      <c r="A78">
        <v>20076</v>
      </c>
      <c r="B78" s="11">
        <v>45365</v>
      </c>
      <c r="C78" t="s">
        <v>84</v>
      </c>
      <c r="D78" t="s">
        <v>55</v>
      </c>
      <c r="E78" t="s">
        <v>34</v>
      </c>
      <c r="F78" t="s">
        <v>26</v>
      </c>
      <c r="G78" t="s">
        <v>57</v>
      </c>
      <c r="H78" s="18">
        <v>5</v>
      </c>
      <c r="I78" s="9">
        <v>386.48</v>
      </c>
      <c r="J78" s="9">
        <v>1739.14</v>
      </c>
      <c r="K78" s="5" t="s">
        <v>305</v>
      </c>
      <c r="L78" t="s">
        <v>72</v>
      </c>
      <c r="M78" t="s">
        <v>60</v>
      </c>
      <c r="N78" t="s">
        <v>21</v>
      </c>
      <c r="O78">
        <v>386.48</v>
      </c>
      <c r="P78" s="5">
        <v>1739.16</v>
      </c>
      <c r="Q78" s="10">
        <v>0.1</v>
      </c>
      <c r="R78" s="19">
        <f>Table13[[#This Row],[Units]]*Table13[[#This Row],[UnitPrice]]*(1-Table13[[#This Row],[Discount Rate]])</f>
        <v>1739.16</v>
      </c>
      <c r="S78" t="s">
        <v>1058</v>
      </c>
      <c r="T78">
        <f>IF(Table13[[#This Row],[Returned]]="N",0,1)</f>
        <v>0</v>
      </c>
    </row>
    <row r="79" spans="1:20" x14ac:dyDescent="0.35">
      <c r="A79">
        <v>20077</v>
      </c>
      <c r="B79" s="11">
        <v>45322</v>
      </c>
      <c r="C79" t="s">
        <v>84</v>
      </c>
      <c r="D79" t="s">
        <v>170</v>
      </c>
      <c r="E79" t="s">
        <v>166</v>
      </c>
      <c r="F79" t="s">
        <v>17</v>
      </c>
      <c r="G79" t="s">
        <v>35</v>
      </c>
      <c r="H79" s="18">
        <v>19</v>
      </c>
      <c r="I79" s="9">
        <v>27.06</v>
      </c>
      <c r="J79" s="9">
        <v>436.98</v>
      </c>
      <c r="K79" s="5" t="s">
        <v>308</v>
      </c>
      <c r="L79" t="s">
        <v>220</v>
      </c>
      <c r="M79" t="s">
        <v>30</v>
      </c>
      <c r="N79" t="s">
        <v>21</v>
      </c>
      <c r="O79">
        <v>27.06</v>
      </c>
      <c r="P79" s="5">
        <v>437.01899999999995</v>
      </c>
      <c r="Q79" s="10">
        <v>0.15</v>
      </c>
      <c r="R79" s="19">
        <f>Table13[[#This Row],[Units]]*Table13[[#This Row],[UnitPrice]]*(1-Table13[[#This Row],[Discount Rate]])</f>
        <v>437.01899999999995</v>
      </c>
      <c r="S79" t="s">
        <v>1058</v>
      </c>
      <c r="T79">
        <f>IF(Table13[[#This Row],[Returned]]="N",0,1)</f>
        <v>0</v>
      </c>
    </row>
    <row r="80" spans="1:20" x14ac:dyDescent="0.35">
      <c r="A80">
        <v>20078</v>
      </c>
      <c r="B80" s="11">
        <v>45334</v>
      </c>
      <c r="C80" t="s">
        <v>225</v>
      </c>
      <c r="D80" t="s">
        <v>89</v>
      </c>
      <c r="E80" t="s">
        <v>107</v>
      </c>
      <c r="F80" t="s">
        <v>26</v>
      </c>
      <c r="G80" t="s">
        <v>57</v>
      </c>
      <c r="H80" s="18">
        <v>3</v>
      </c>
      <c r="I80" s="9">
        <v>299.44</v>
      </c>
      <c r="J80" s="9">
        <v>718.65</v>
      </c>
      <c r="K80" s="5" t="s">
        <v>310</v>
      </c>
      <c r="L80" t="s">
        <v>116</v>
      </c>
      <c r="M80" t="s">
        <v>30</v>
      </c>
      <c r="N80" t="s">
        <v>21</v>
      </c>
      <c r="O80">
        <v>299.44</v>
      </c>
      <c r="P80" s="5">
        <v>718.65599999999995</v>
      </c>
      <c r="Q80" s="10">
        <v>0.2</v>
      </c>
      <c r="R80" s="19">
        <f>Table13[[#This Row],[Units]]*Table13[[#This Row],[UnitPrice]]*(1-Table13[[#This Row],[Discount Rate]])</f>
        <v>718.65599999999995</v>
      </c>
      <c r="S80" t="s">
        <v>1063</v>
      </c>
      <c r="T80">
        <f>IF(Table13[[#This Row],[Returned]]="N",0,1)</f>
        <v>0</v>
      </c>
    </row>
    <row r="81" spans="1:20" x14ac:dyDescent="0.35">
      <c r="A81">
        <v>20079</v>
      </c>
      <c r="B81" s="11">
        <v>45364</v>
      </c>
      <c r="C81" t="s">
        <v>23</v>
      </c>
      <c r="D81" t="s">
        <v>15</v>
      </c>
      <c r="E81" t="s">
        <v>142</v>
      </c>
      <c r="F81" t="s">
        <v>17</v>
      </c>
      <c r="G81" t="s">
        <v>18</v>
      </c>
      <c r="H81" s="18">
        <v>8</v>
      </c>
      <c r="I81" s="9">
        <v>189.92</v>
      </c>
      <c r="J81" s="9">
        <v>1215.48</v>
      </c>
      <c r="K81" s="5" t="s">
        <v>313</v>
      </c>
      <c r="L81" t="s">
        <v>116</v>
      </c>
      <c r="M81" t="s">
        <v>30</v>
      </c>
      <c r="N81" t="s">
        <v>21</v>
      </c>
      <c r="O81">
        <v>189.92</v>
      </c>
      <c r="P81" s="5">
        <v>1215.4880000000001</v>
      </c>
      <c r="Q81" s="10">
        <v>0.2</v>
      </c>
      <c r="R81" s="19">
        <f>Table13[[#This Row],[Units]]*Table13[[#This Row],[UnitPrice]]*(1-Table13[[#This Row],[Discount Rate]])</f>
        <v>1215.4880000000001</v>
      </c>
      <c r="S81" t="s">
        <v>1063</v>
      </c>
      <c r="T81">
        <f>IF(Table13[[#This Row],[Returned]]="N",0,1)</f>
        <v>0</v>
      </c>
    </row>
    <row r="82" spans="1:20" x14ac:dyDescent="0.35">
      <c r="A82">
        <v>20080</v>
      </c>
      <c r="B82" s="11">
        <v>45374</v>
      </c>
      <c r="C82" t="s">
        <v>96</v>
      </c>
      <c r="D82" t="s">
        <v>314</v>
      </c>
      <c r="E82" t="s">
        <v>16</v>
      </c>
      <c r="F82" t="s">
        <v>17</v>
      </c>
      <c r="G82" t="s">
        <v>35</v>
      </c>
      <c r="H82" s="18">
        <v>8</v>
      </c>
      <c r="I82" s="9">
        <v>36.08</v>
      </c>
      <c r="J82" s="9">
        <v>245.36</v>
      </c>
      <c r="K82" s="5" t="s">
        <v>316</v>
      </c>
      <c r="L82" t="s">
        <v>220</v>
      </c>
      <c r="M82" t="s">
        <v>30</v>
      </c>
      <c r="N82" t="s">
        <v>21</v>
      </c>
      <c r="O82">
        <v>36.08</v>
      </c>
      <c r="P82" s="5">
        <v>245.34399999999999</v>
      </c>
      <c r="Q82" s="10">
        <v>0.15</v>
      </c>
      <c r="R82" s="19">
        <f>Table13[[#This Row],[Units]]*Table13[[#This Row],[UnitPrice]]*(1-Table13[[#This Row],[Discount Rate]])</f>
        <v>245.34399999999999</v>
      </c>
      <c r="S82" t="s">
        <v>1058</v>
      </c>
      <c r="T82">
        <f>IF(Table13[[#This Row],[Returned]]="N",0,1)</f>
        <v>0</v>
      </c>
    </row>
    <row r="83" spans="1:20" x14ac:dyDescent="0.35">
      <c r="A83">
        <v>20081</v>
      </c>
      <c r="B83" s="11">
        <v>45381</v>
      </c>
      <c r="C83" t="s">
        <v>23</v>
      </c>
      <c r="D83" t="s">
        <v>177</v>
      </c>
      <c r="E83" t="s">
        <v>42</v>
      </c>
      <c r="F83" t="s">
        <v>17</v>
      </c>
      <c r="G83" t="s">
        <v>43</v>
      </c>
      <c r="H83" s="18">
        <v>19</v>
      </c>
      <c r="I83" s="9">
        <v>198.24</v>
      </c>
      <c r="J83" s="9">
        <v>3833.05</v>
      </c>
      <c r="K83" s="5" t="s">
        <v>319</v>
      </c>
      <c r="L83" t="s">
        <v>1056</v>
      </c>
      <c r="M83" t="s">
        <v>60</v>
      </c>
      <c r="N83" t="s">
        <v>21</v>
      </c>
      <c r="O83">
        <v>198.24</v>
      </c>
      <c r="P83" s="5">
        <v>3766.5600000000004</v>
      </c>
      <c r="Q83" s="10">
        <v>0</v>
      </c>
      <c r="R83" s="19">
        <f>Table13[[#This Row],[Units]]*Table13[[#This Row],[UnitPrice]]*(1-Table13[[#This Row],[Discount Rate]])</f>
        <v>3766.5600000000004</v>
      </c>
      <c r="S83" t="s">
        <v>1058</v>
      </c>
      <c r="T83">
        <f>IF(Table13[[#This Row],[Returned]]="N",0,1)</f>
        <v>0</v>
      </c>
    </row>
    <row r="84" spans="1:20" x14ac:dyDescent="0.35">
      <c r="A84">
        <v>20082</v>
      </c>
      <c r="B84" s="11">
        <v>45293</v>
      </c>
      <c r="C84" t="s">
        <v>23</v>
      </c>
      <c r="D84" t="s">
        <v>24</v>
      </c>
      <c r="E84" t="s">
        <v>25</v>
      </c>
      <c r="F84" t="s">
        <v>26</v>
      </c>
      <c r="G84" t="s">
        <v>18</v>
      </c>
      <c r="H84" s="18">
        <v>12</v>
      </c>
      <c r="I84" s="9">
        <v>119.02</v>
      </c>
      <c r="J84" s="9">
        <v>1428.19</v>
      </c>
      <c r="K84" s="5" t="s">
        <v>321</v>
      </c>
      <c r="L84" t="s">
        <v>1056</v>
      </c>
      <c r="M84" t="s">
        <v>30</v>
      </c>
      <c r="N84" t="s">
        <v>21</v>
      </c>
      <c r="O84">
        <v>119.02</v>
      </c>
      <c r="P84" s="5">
        <v>1428.24</v>
      </c>
      <c r="Q84" s="10">
        <v>0</v>
      </c>
      <c r="R84" s="19">
        <f>Table13[[#This Row],[Units]]*Table13[[#This Row],[UnitPrice]]*(1-Table13[[#This Row],[Discount Rate]])</f>
        <v>1428.24</v>
      </c>
      <c r="S84" t="s">
        <v>1058</v>
      </c>
      <c r="T84">
        <f>IF(Table13[[#This Row],[Returned]]="N",0,1)</f>
        <v>0</v>
      </c>
    </row>
    <row r="85" spans="1:20" x14ac:dyDescent="0.35">
      <c r="A85">
        <v>20083</v>
      </c>
      <c r="B85" s="11">
        <v>45301</v>
      </c>
      <c r="C85" t="s">
        <v>84</v>
      </c>
      <c r="D85" t="s">
        <v>55</v>
      </c>
      <c r="E85" t="s">
        <v>16</v>
      </c>
      <c r="F85" t="s">
        <v>17</v>
      </c>
      <c r="G85" t="s">
        <v>35</v>
      </c>
      <c r="H85" s="18">
        <v>19</v>
      </c>
      <c r="I85" s="9">
        <v>31.83</v>
      </c>
      <c r="J85" s="9">
        <v>604.69000000000005</v>
      </c>
      <c r="K85" s="5" t="s">
        <v>324</v>
      </c>
      <c r="L85" t="s">
        <v>1056</v>
      </c>
      <c r="M85" t="s">
        <v>30</v>
      </c>
      <c r="N85" t="s">
        <v>151</v>
      </c>
      <c r="O85">
        <v>31.83</v>
      </c>
      <c r="P85" s="5">
        <v>604.77</v>
      </c>
      <c r="Q85" s="10">
        <v>0</v>
      </c>
      <c r="R85" s="19">
        <f>Table13[[#This Row],[Units]]*Table13[[#This Row],[UnitPrice]]*(1-Table13[[#This Row],[Discount Rate]])</f>
        <v>604.77</v>
      </c>
      <c r="S85" t="s">
        <v>1058</v>
      </c>
      <c r="T85">
        <f>IF(Table13[[#This Row],[Returned]]="N",0,1)</f>
        <v>1</v>
      </c>
    </row>
    <row r="86" spans="1:20" x14ac:dyDescent="0.35">
      <c r="A86">
        <v>20084</v>
      </c>
      <c r="B86" s="11">
        <v>45340</v>
      </c>
      <c r="C86" t="s">
        <v>84</v>
      </c>
      <c r="D86" t="s">
        <v>170</v>
      </c>
      <c r="E86" t="s">
        <v>142</v>
      </c>
      <c r="F86" t="s">
        <v>17</v>
      </c>
      <c r="G86" t="s">
        <v>35</v>
      </c>
      <c r="H86" s="18">
        <v>3</v>
      </c>
      <c r="I86" s="9">
        <v>197.08</v>
      </c>
      <c r="J86" s="9">
        <v>472.98</v>
      </c>
      <c r="K86" s="5" t="s">
        <v>327</v>
      </c>
      <c r="L86" t="s">
        <v>116</v>
      </c>
      <c r="M86" t="s">
        <v>30</v>
      </c>
      <c r="N86" t="s">
        <v>21</v>
      </c>
      <c r="O86">
        <v>197.08</v>
      </c>
      <c r="P86" s="5">
        <v>472.99200000000002</v>
      </c>
      <c r="Q86" s="10">
        <v>0.2</v>
      </c>
      <c r="R86" s="19">
        <f>Table13[[#This Row],[Units]]*Table13[[#This Row],[UnitPrice]]*(1-Table13[[#This Row],[Discount Rate]])</f>
        <v>472.99200000000002</v>
      </c>
      <c r="S86" t="s">
        <v>1058</v>
      </c>
      <c r="T86">
        <f>IF(Table13[[#This Row],[Returned]]="N",0,1)</f>
        <v>0</v>
      </c>
    </row>
    <row r="87" spans="1:20" x14ac:dyDescent="0.35">
      <c r="A87">
        <v>20085</v>
      </c>
      <c r="B87" s="11">
        <v>45362</v>
      </c>
      <c r="C87" t="s">
        <v>23</v>
      </c>
      <c r="D87" t="s">
        <v>75</v>
      </c>
      <c r="E87" t="s">
        <v>50</v>
      </c>
      <c r="F87" t="s">
        <v>17</v>
      </c>
      <c r="G87" t="s">
        <v>57</v>
      </c>
      <c r="H87" s="18">
        <v>5</v>
      </c>
      <c r="I87" s="9">
        <v>450</v>
      </c>
      <c r="J87" s="9">
        <v>1734</v>
      </c>
      <c r="K87" s="5" t="s">
        <v>329</v>
      </c>
      <c r="L87" t="s">
        <v>116</v>
      </c>
      <c r="M87" t="s">
        <v>30</v>
      </c>
      <c r="N87" t="s">
        <v>21</v>
      </c>
      <c r="O87">
        <v>450</v>
      </c>
      <c r="P87" s="5">
        <v>1800</v>
      </c>
      <c r="Q87" s="10">
        <v>0.2</v>
      </c>
      <c r="R87" s="19">
        <f>Table13[[#This Row],[Units]]*Table13[[#This Row],[UnitPrice]]*(1-Table13[[#This Row],[Discount Rate]])</f>
        <v>1800</v>
      </c>
      <c r="S87" t="s">
        <v>1058</v>
      </c>
      <c r="T87">
        <f>IF(Table13[[#This Row],[Returned]]="N",0,1)</f>
        <v>0</v>
      </c>
    </row>
    <row r="88" spans="1:20" x14ac:dyDescent="0.35">
      <c r="A88">
        <v>20086</v>
      </c>
      <c r="B88" s="11">
        <v>45350</v>
      </c>
      <c r="C88" t="s">
        <v>100</v>
      </c>
      <c r="D88" t="s">
        <v>33</v>
      </c>
      <c r="E88" t="s">
        <v>85</v>
      </c>
      <c r="F88" t="s">
        <v>17</v>
      </c>
      <c r="G88" t="s">
        <v>43</v>
      </c>
      <c r="H88" s="18">
        <v>19</v>
      </c>
      <c r="I88" s="9">
        <v>67.41</v>
      </c>
      <c r="J88" s="9">
        <v>1152.7</v>
      </c>
      <c r="K88" s="5" t="s">
        <v>331</v>
      </c>
      <c r="L88" t="s">
        <v>72</v>
      </c>
      <c r="M88" t="s">
        <v>30</v>
      </c>
      <c r="N88" t="s">
        <v>21</v>
      </c>
      <c r="O88">
        <v>67.41</v>
      </c>
      <c r="P88" s="5">
        <v>1152.711</v>
      </c>
      <c r="Q88" s="10">
        <v>0.1</v>
      </c>
      <c r="R88" s="19">
        <f>Table13[[#This Row],[Units]]*Table13[[#This Row],[UnitPrice]]*(1-Table13[[#This Row],[Discount Rate]])</f>
        <v>1152.711</v>
      </c>
      <c r="S88" t="s">
        <v>1063</v>
      </c>
      <c r="T88">
        <f>IF(Table13[[#This Row],[Returned]]="N",0,1)</f>
        <v>0</v>
      </c>
    </row>
    <row r="89" spans="1:20" x14ac:dyDescent="0.35">
      <c r="A89">
        <v>20087</v>
      </c>
      <c r="B89" s="11">
        <v>45364</v>
      </c>
      <c r="C89" t="s">
        <v>100</v>
      </c>
      <c r="D89" t="s">
        <v>68</v>
      </c>
      <c r="E89" t="s">
        <v>25</v>
      </c>
      <c r="F89" t="s">
        <v>26</v>
      </c>
      <c r="G89" t="s">
        <v>27</v>
      </c>
      <c r="H89" s="18">
        <v>20</v>
      </c>
      <c r="I89" s="9">
        <v>122.48</v>
      </c>
      <c r="J89" s="9">
        <v>2327.06</v>
      </c>
      <c r="K89" s="5" t="s">
        <v>333</v>
      </c>
      <c r="L89" t="s">
        <v>104</v>
      </c>
      <c r="M89" t="s">
        <v>60</v>
      </c>
      <c r="N89" t="s">
        <v>21</v>
      </c>
      <c r="O89">
        <v>122.48</v>
      </c>
      <c r="P89" s="5">
        <v>2327.12</v>
      </c>
      <c r="Q89" s="10">
        <v>0.05</v>
      </c>
      <c r="R89" s="19">
        <f>Table13[[#This Row],[Units]]*Table13[[#This Row],[UnitPrice]]*(1-Table13[[#This Row],[Discount Rate]])</f>
        <v>2327.12</v>
      </c>
      <c r="S89" t="s">
        <v>1058</v>
      </c>
      <c r="T89">
        <f>IF(Table13[[#This Row],[Returned]]="N",0,1)</f>
        <v>0</v>
      </c>
    </row>
    <row r="90" spans="1:20" x14ac:dyDescent="0.35">
      <c r="A90">
        <v>20088</v>
      </c>
      <c r="B90" s="11">
        <v>45380</v>
      </c>
      <c r="C90" t="s">
        <v>84</v>
      </c>
      <c r="D90" t="s">
        <v>55</v>
      </c>
      <c r="E90" t="s">
        <v>69</v>
      </c>
      <c r="F90" t="s">
        <v>26</v>
      </c>
      <c r="G90" t="s">
        <v>43</v>
      </c>
      <c r="H90" s="18">
        <v>3</v>
      </c>
      <c r="I90" s="9">
        <v>37.07</v>
      </c>
      <c r="J90" s="9">
        <v>100.09</v>
      </c>
      <c r="K90" s="5" t="s">
        <v>336</v>
      </c>
      <c r="L90" t="s">
        <v>72</v>
      </c>
      <c r="M90" t="s">
        <v>30</v>
      </c>
      <c r="N90" t="s">
        <v>21</v>
      </c>
      <c r="O90">
        <v>37.07</v>
      </c>
      <c r="P90" s="5">
        <v>100.08900000000001</v>
      </c>
      <c r="Q90" s="10">
        <v>0.1</v>
      </c>
      <c r="R90" s="19">
        <f>Table13[[#This Row],[Units]]*Table13[[#This Row],[UnitPrice]]*(1-Table13[[#This Row],[Discount Rate]])</f>
        <v>100.08900000000001</v>
      </c>
      <c r="S90" t="s">
        <v>1058</v>
      </c>
      <c r="T90">
        <f>IF(Table13[[#This Row],[Returned]]="N",0,1)</f>
        <v>0</v>
      </c>
    </row>
    <row r="91" spans="1:20" x14ac:dyDescent="0.35">
      <c r="A91">
        <v>20089</v>
      </c>
      <c r="B91" s="11">
        <v>45378</v>
      </c>
      <c r="C91" t="s">
        <v>225</v>
      </c>
      <c r="D91" t="s">
        <v>89</v>
      </c>
      <c r="E91" t="s">
        <v>16</v>
      </c>
      <c r="F91" t="s">
        <v>17</v>
      </c>
      <c r="G91" t="s">
        <v>27</v>
      </c>
      <c r="H91" s="18">
        <v>23</v>
      </c>
      <c r="I91" s="9">
        <v>36.24</v>
      </c>
      <c r="J91" s="9">
        <v>791.89</v>
      </c>
      <c r="K91" s="5" t="s">
        <v>339</v>
      </c>
      <c r="L91" t="s">
        <v>104</v>
      </c>
      <c r="M91" t="s">
        <v>60</v>
      </c>
      <c r="N91" t="s">
        <v>21</v>
      </c>
      <c r="O91">
        <v>36.24</v>
      </c>
      <c r="P91" s="5">
        <v>791.84400000000005</v>
      </c>
      <c r="Q91" s="10">
        <v>0.05</v>
      </c>
      <c r="R91" s="19">
        <f>Table13[[#This Row],[Units]]*Table13[[#This Row],[UnitPrice]]*(1-Table13[[#This Row],[Discount Rate]])</f>
        <v>791.84400000000005</v>
      </c>
      <c r="S91" t="s">
        <v>1058</v>
      </c>
      <c r="T91">
        <f>IF(Table13[[#This Row],[Returned]]="N",0,1)</f>
        <v>0</v>
      </c>
    </row>
    <row r="92" spans="1:20" x14ac:dyDescent="0.35">
      <c r="A92">
        <v>20090</v>
      </c>
      <c r="B92" s="11">
        <v>45314</v>
      </c>
      <c r="C92" t="s">
        <v>84</v>
      </c>
      <c r="D92" t="s">
        <v>55</v>
      </c>
      <c r="E92" t="s">
        <v>25</v>
      </c>
      <c r="F92" t="s">
        <v>26</v>
      </c>
      <c r="G92" t="s">
        <v>35</v>
      </c>
      <c r="H92" s="18">
        <v>7</v>
      </c>
      <c r="I92" s="9">
        <v>116.36</v>
      </c>
      <c r="J92" s="9">
        <v>733.06</v>
      </c>
      <c r="K92" s="5" t="s">
        <v>343</v>
      </c>
      <c r="L92" t="s">
        <v>72</v>
      </c>
      <c r="M92" t="s">
        <v>30</v>
      </c>
      <c r="N92" t="s">
        <v>151</v>
      </c>
      <c r="O92">
        <v>116.36</v>
      </c>
      <c r="P92" s="5">
        <v>733.06799999999998</v>
      </c>
      <c r="Q92" s="10">
        <v>0.1</v>
      </c>
      <c r="R92" s="19">
        <f>Table13[[#This Row],[Units]]*Table13[[#This Row],[UnitPrice]]*(1-Table13[[#This Row],[Discount Rate]])</f>
        <v>733.06799999999998</v>
      </c>
      <c r="S92" t="s">
        <v>1058</v>
      </c>
      <c r="T92">
        <f>IF(Table13[[#This Row],[Returned]]="N",0,1)</f>
        <v>1</v>
      </c>
    </row>
    <row r="93" spans="1:20" x14ac:dyDescent="0.35">
      <c r="A93">
        <v>20091</v>
      </c>
      <c r="B93" s="11">
        <v>45377</v>
      </c>
      <c r="C93" t="s">
        <v>652</v>
      </c>
      <c r="D93" t="s">
        <v>41</v>
      </c>
      <c r="E93" t="s">
        <v>107</v>
      </c>
      <c r="F93" t="s">
        <v>126</v>
      </c>
      <c r="G93" t="s">
        <v>43</v>
      </c>
      <c r="H93" s="18">
        <v>16</v>
      </c>
      <c r="I93" s="9">
        <v>273.77</v>
      </c>
      <c r="J93" s="9">
        <v>4380.3999999999996</v>
      </c>
      <c r="K93" s="5" t="s">
        <v>345</v>
      </c>
      <c r="L93" t="s">
        <v>1056</v>
      </c>
      <c r="M93" t="s">
        <v>60</v>
      </c>
      <c r="N93" t="s">
        <v>21</v>
      </c>
      <c r="O93">
        <v>273.77</v>
      </c>
      <c r="P93" s="5">
        <v>4380.32</v>
      </c>
      <c r="Q93" s="10">
        <v>0</v>
      </c>
      <c r="R93" s="19">
        <f>Table13[[#This Row],[Units]]*Table13[[#This Row],[UnitPrice]]*(1-Table13[[#This Row],[Discount Rate]])</f>
        <v>4380.32</v>
      </c>
      <c r="S93" t="s">
        <v>1058</v>
      </c>
      <c r="T93">
        <f>IF(Table13[[#This Row],[Returned]]="N",0,1)</f>
        <v>0</v>
      </c>
    </row>
    <row r="94" spans="1:20" x14ac:dyDescent="0.35">
      <c r="A94">
        <v>20092</v>
      </c>
      <c r="B94" s="11">
        <v>45374</v>
      </c>
      <c r="C94" t="s">
        <v>225</v>
      </c>
      <c r="D94" t="s">
        <v>113</v>
      </c>
      <c r="E94" t="s">
        <v>69</v>
      </c>
      <c r="F94" t="s">
        <v>26</v>
      </c>
      <c r="G94" t="s">
        <v>27</v>
      </c>
      <c r="H94" s="18">
        <v>10</v>
      </c>
      <c r="I94" s="9">
        <v>35.630000000000003</v>
      </c>
      <c r="J94" s="9">
        <v>320.68</v>
      </c>
      <c r="K94" s="5" t="s">
        <v>348</v>
      </c>
      <c r="L94" t="s">
        <v>72</v>
      </c>
      <c r="M94" t="s">
        <v>30</v>
      </c>
      <c r="N94" t="s">
        <v>21</v>
      </c>
      <c r="O94">
        <v>35.630000000000003</v>
      </c>
      <c r="P94" s="5">
        <v>320.67</v>
      </c>
      <c r="Q94" s="10">
        <v>0.1</v>
      </c>
      <c r="R94" s="19">
        <f>Table13[[#This Row],[Units]]*Table13[[#This Row],[UnitPrice]]*(1-Table13[[#This Row],[Discount Rate]])</f>
        <v>320.67</v>
      </c>
      <c r="S94" t="s">
        <v>1058</v>
      </c>
      <c r="T94">
        <f>IF(Table13[[#This Row],[Returned]]="N",0,1)</f>
        <v>0</v>
      </c>
    </row>
    <row r="95" spans="1:20" x14ac:dyDescent="0.35">
      <c r="A95">
        <v>20093</v>
      </c>
      <c r="B95" s="11">
        <v>45328</v>
      </c>
      <c r="C95" t="s">
        <v>100</v>
      </c>
      <c r="D95" t="s">
        <v>68</v>
      </c>
      <c r="E95" t="s">
        <v>56</v>
      </c>
      <c r="F95" t="s">
        <v>17</v>
      </c>
      <c r="G95" t="s">
        <v>43</v>
      </c>
      <c r="H95" s="18">
        <v>13</v>
      </c>
      <c r="I95" s="9">
        <v>850.92</v>
      </c>
      <c r="J95" s="9">
        <v>11062.02</v>
      </c>
      <c r="K95" s="5" t="s">
        <v>351</v>
      </c>
      <c r="L95" t="s">
        <v>1056</v>
      </c>
      <c r="M95" t="s">
        <v>30</v>
      </c>
      <c r="N95" t="s">
        <v>21</v>
      </c>
      <c r="O95">
        <v>850.92</v>
      </c>
      <c r="P95" s="5">
        <v>11061.96</v>
      </c>
      <c r="Q95" s="10">
        <v>0</v>
      </c>
      <c r="R95" s="19">
        <f>Table13[[#This Row],[Units]]*Table13[[#This Row],[UnitPrice]]*(1-Table13[[#This Row],[Discount Rate]])</f>
        <v>11061.96</v>
      </c>
      <c r="S95" t="s">
        <v>1058</v>
      </c>
      <c r="T95">
        <f>IF(Table13[[#This Row],[Returned]]="N",0,1)</f>
        <v>0</v>
      </c>
    </row>
    <row r="96" spans="1:20" x14ac:dyDescent="0.35">
      <c r="A96">
        <v>20094</v>
      </c>
      <c r="B96" s="11">
        <v>45322</v>
      </c>
      <c r="C96" t="s">
        <v>225</v>
      </c>
      <c r="D96" t="s">
        <v>113</v>
      </c>
      <c r="E96" t="s">
        <v>85</v>
      </c>
      <c r="F96" t="s">
        <v>17</v>
      </c>
      <c r="G96" t="s">
        <v>43</v>
      </c>
      <c r="H96" s="18">
        <v>2</v>
      </c>
      <c r="I96" s="9">
        <v>64.239999999999995</v>
      </c>
      <c r="J96" s="9">
        <v>128.47999999999999</v>
      </c>
      <c r="K96" s="5" t="s">
        <v>353</v>
      </c>
      <c r="L96" t="s">
        <v>1056</v>
      </c>
      <c r="M96" t="s">
        <v>30</v>
      </c>
      <c r="N96" t="s">
        <v>21</v>
      </c>
      <c r="O96">
        <v>64.239999999999995</v>
      </c>
      <c r="P96" s="5">
        <v>128.47999999999999</v>
      </c>
      <c r="Q96" s="10">
        <v>0</v>
      </c>
      <c r="R96" s="19">
        <f>Table13[[#This Row],[Units]]*Table13[[#This Row],[UnitPrice]]*(1-Table13[[#This Row],[Discount Rate]])</f>
        <v>128.47999999999999</v>
      </c>
      <c r="S96" t="s">
        <v>1058</v>
      </c>
      <c r="T96">
        <f>IF(Table13[[#This Row],[Returned]]="N",0,1)</f>
        <v>0</v>
      </c>
    </row>
    <row r="97" spans="1:20" x14ac:dyDescent="0.35">
      <c r="A97">
        <v>20095</v>
      </c>
      <c r="B97" s="11">
        <v>45299</v>
      </c>
      <c r="C97" t="s">
        <v>652</v>
      </c>
      <c r="D97" t="s">
        <v>121</v>
      </c>
      <c r="E97" t="s">
        <v>16</v>
      </c>
      <c r="F97" t="s">
        <v>17</v>
      </c>
      <c r="G97" t="s">
        <v>27</v>
      </c>
      <c r="H97" s="18">
        <v>19</v>
      </c>
      <c r="I97" s="9">
        <v>35.68</v>
      </c>
      <c r="J97" s="9">
        <v>678</v>
      </c>
      <c r="K97" s="5" t="s">
        <v>356</v>
      </c>
      <c r="L97" t="s">
        <v>1056</v>
      </c>
      <c r="M97" t="s">
        <v>60</v>
      </c>
      <c r="N97" t="s">
        <v>21</v>
      </c>
      <c r="O97">
        <v>35.68</v>
      </c>
      <c r="P97" s="5">
        <v>677.92</v>
      </c>
      <c r="Q97" s="10">
        <v>0</v>
      </c>
      <c r="R97" s="19">
        <f>Table13[[#This Row],[Units]]*Table13[[#This Row],[UnitPrice]]*(1-Table13[[#This Row],[Discount Rate]])</f>
        <v>677.92</v>
      </c>
      <c r="S97" t="s">
        <v>1058</v>
      </c>
      <c r="T97">
        <f>IF(Table13[[#This Row],[Returned]]="N",0,1)</f>
        <v>0</v>
      </c>
    </row>
    <row r="98" spans="1:20" x14ac:dyDescent="0.35">
      <c r="A98">
        <v>20096</v>
      </c>
      <c r="B98" s="11">
        <v>45373</v>
      </c>
      <c r="C98" t="s">
        <v>652</v>
      </c>
      <c r="D98" t="s">
        <v>41</v>
      </c>
      <c r="E98" t="s">
        <v>69</v>
      </c>
      <c r="F98" t="s">
        <v>26</v>
      </c>
      <c r="G98" t="s">
        <v>35</v>
      </c>
      <c r="H98" s="18">
        <v>14</v>
      </c>
      <c r="I98" s="9">
        <v>36</v>
      </c>
      <c r="J98" s="9">
        <v>402.48</v>
      </c>
      <c r="K98" s="5" t="s">
        <v>359</v>
      </c>
      <c r="L98" t="s">
        <v>116</v>
      </c>
      <c r="M98" t="s">
        <v>60</v>
      </c>
      <c r="N98" t="s">
        <v>21</v>
      </c>
      <c r="O98">
        <v>36</v>
      </c>
      <c r="P98" s="5">
        <v>403.20000000000005</v>
      </c>
      <c r="Q98" s="10">
        <v>0.2</v>
      </c>
      <c r="R98" s="19">
        <f>Table13[[#This Row],[Units]]*Table13[[#This Row],[UnitPrice]]*(1-Table13[[#This Row],[Discount Rate]])</f>
        <v>403.20000000000005</v>
      </c>
      <c r="S98" t="s">
        <v>1058</v>
      </c>
      <c r="T98">
        <f>IF(Table13[[#This Row],[Returned]]="N",0,1)</f>
        <v>0</v>
      </c>
    </row>
    <row r="99" spans="1:20" x14ac:dyDescent="0.35">
      <c r="A99">
        <v>20097</v>
      </c>
      <c r="B99" s="11">
        <v>45317</v>
      </c>
      <c r="C99" t="s">
        <v>96</v>
      </c>
      <c r="D99" t="s">
        <v>49</v>
      </c>
      <c r="E99" t="s">
        <v>25</v>
      </c>
      <c r="F99" t="s">
        <v>26</v>
      </c>
      <c r="G99" t="s">
        <v>43</v>
      </c>
      <c r="H99" s="18">
        <v>19</v>
      </c>
      <c r="I99" s="9">
        <v>127</v>
      </c>
      <c r="J99" s="9">
        <v>2411.4699999999998</v>
      </c>
      <c r="K99" s="5" t="s">
        <v>362</v>
      </c>
      <c r="L99" t="s">
        <v>1056</v>
      </c>
      <c r="M99" t="s">
        <v>132</v>
      </c>
      <c r="N99" t="s">
        <v>21</v>
      </c>
      <c r="O99">
        <v>127</v>
      </c>
      <c r="P99" s="5">
        <v>2413</v>
      </c>
      <c r="Q99" s="10">
        <v>0</v>
      </c>
      <c r="R99" s="19">
        <f>Table13[[#This Row],[Units]]*Table13[[#This Row],[UnitPrice]]*(1-Table13[[#This Row],[Discount Rate]])</f>
        <v>2413</v>
      </c>
      <c r="S99" t="s">
        <v>1058</v>
      </c>
      <c r="T99">
        <f>IF(Table13[[#This Row],[Returned]]="N",0,1)</f>
        <v>0</v>
      </c>
    </row>
    <row r="100" spans="1:20" x14ac:dyDescent="0.35">
      <c r="A100">
        <v>20098</v>
      </c>
      <c r="B100" s="11">
        <v>45335</v>
      </c>
      <c r="C100" t="s">
        <v>23</v>
      </c>
      <c r="D100" t="s">
        <v>24</v>
      </c>
      <c r="E100" t="s">
        <v>50</v>
      </c>
      <c r="F100" t="s">
        <v>17</v>
      </c>
      <c r="G100" t="s">
        <v>76</v>
      </c>
      <c r="H100" s="18">
        <v>23</v>
      </c>
      <c r="I100" s="9">
        <v>432.5</v>
      </c>
      <c r="J100" s="9">
        <v>9947.4</v>
      </c>
      <c r="K100" s="5" t="s">
        <v>365</v>
      </c>
      <c r="L100" t="s">
        <v>1056</v>
      </c>
      <c r="M100" t="s">
        <v>60</v>
      </c>
      <c r="N100" t="s">
        <v>151</v>
      </c>
      <c r="O100">
        <v>432.5</v>
      </c>
      <c r="P100" s="5">
        <v>9947.5</v>
      </c>
      <c r="Q100" s="10">
        <v>0</v>
      </c>
      <c r="R100" s="19">
        <f>Table13[[#This Row],[Units]]*Table13[[#This Row],[UnitPrice]]*(1-Table13[[#This Row],[Discount Rate]])</f>
        <v>9947.5</v>
      </c>
      <c r="S100" t="s">
        <v>1058</v>
      </c>
      <c r="T100">
        <f>IF(Table13[[#This Row],[Returned]]="N",0,1)</f>
        <v>1</v>
      </c>
    </row>
    <row r="101" spans="1:20" x14ac:dyDescent="0.35">
      <c r="A101">
        <v>20099</v>
      </c>
      <c r="B101" s="11">
        <v>45370</v>
      </c>
      <c r="C101" t="s">
        <v>100</v>
      </c>
      <c r="D101" t="s">
        <v>141</v>
      </c>
      <c r="E101" t="s">
        <v>25</v>
      </c>
      <c r="F101" t="s">
        <v>26</v>
      </c>
      <c r="G101" t="s">
        <v>18</v>
      </c>
      <c r="H101" s="18">
        <v>13</v>
      </c>
      <c r="I101" s="9">
        <v>126.08</v>
      </c>
      <c r="J101" s="9">
        <v>1638.99</v>
      </c>
      <c r="K101" s="5" t="s">
        <v>368</v>
      </c>
      <c r="L101" t="s">
        <v>1056</v>
      </c>
      <c r="M101" t="s">
        <v>30</v>
      </c>
      <c r="N101" t="s">
        <v>151</v>
      </c>
      <c r="O101">
        <v>126.08</v>
      </c>
      <c r="P101" s="5">
        <v>1639.04</v>
      </c>
      <c r="Q101" s="10">
        <v>0</v>
      </c>
      <c r="R101" s="19">
        <f>Table13[[#This Row],[Units]]*Table13[[#This Row],[UnitPrice]]*(1-Table13[[#This Row],[Discount Rate]])</f>
        <v>1639.04</v>
      </c>
      <c r="S101" t="s">
        <v>1058</v>
      </c>
      <c r="T101">
        <f>IF(Table13[[#This Row],[Returned]]="N",0,1)</f>
        <v>1</v>
      </c>
    </row>
    <row r="102" spans="1:20" x14ac:dyDescent="0.35">
      <c r="A102">
        <v>20100</v>
      </c>
      <c r="B102" s="11">
        <v>45374</v>
      </c>
      <c r="C102" t="s">
        <v>225</v>
      </c>
      <c r="D102" t="s">
        <v>113</v>
      </c>
      <c r="E102" t="s">
        <v>107</v>
      </c>
      <c r="F102" t="s">
        <v>26</v>
      </c>
      <c r="G102" t="s">
        <v>18</v>
      </c>
      <c r="H102" s="18">
        <v>9</v>
      </c>
      <c r="I102" s="9">
        <v>265.89999999999998</v>
      </c>
      <c r="J102" s="9">
        <v>2393</v>
      </c>
      <c r="K102" s="5" t="s">
        <v>370</v>
      </c>
      <c r="L102" t="s">
        <v>1056</v>
      </c>
      <c r="M102" t="s">
        <v>30</v>
      </c>
      <c r="N102" t="s">
        <v>151</v>
      </c>
      <c r="O102">
        <v>265.89999999999998</v>
      </c>
      <c r="P102" s="5">
        <v>2393.1</v>
      </c>
      <c r="Q102" s="10">
        <v>0</v>
      </c>
      <c r="R102" s="19">
        <f>Table13[[#This Row],[Units]]*Table13[[#This Row],[UnitPrice]]*(1-Table13[[#This Row],[Discount Rate]])</f>
        <v>2393.1</v>
      </c>
      <c r="S102" t="s">
        <v>1058</v>
      </c>
      <c r="T102">
        <f>IF(Table13[[#This Row],[Returned]]="N",0,1)</f>
        <v>1</v>
      </c>
    </row>
    <row r="103" spans="1:20" x14ac:dyDescent="0.35">
      <c r="A103">
        <v>20101</v>
      </c>
      <c r="B103" s="11">
        <v>45342</v>
      </c>
      <c r="C103" t="s">
        <v>23</v>
      </c>
      <c r="D103" t="s">
        <v>75</v>
      </c>
      <c r="E103" t="s">
        <v>85</v>
      </c>
      <c r="F103" t="s">
        <v>17</v>
      </c>
      <c r="G103" t="s">
        <v>43</v>
      </c>
      <c r="H103" s="18">
        <v>12</v>
      </c>
      <c r="I103" s="9">
        <v>60</v>
      </c>
      <c r="J103" s="9">
        <v>722.59</v>
      </c>
      <c r="K103" s="5" t="s">
        <v>373</v>
      </c>
      <c r="L103" t="s">
        <v>1056</v>
      </c>
      <c r="M103" t="s">
        <v>30</v>
      </c>
      <c r="N103" t="s">
        <v>21</v>
      </c>
      <c r="O103">
        <v>60</v>
      </c>
      <c r="P103" s="5">
        <v>720</v>
      </c>
      <c r="Q103" s="10">
        <v>0</v>
      </c>
      <c r="R103" s="19">
        <f>Table13[[#This Row],[Units]]*Table13[[#This Row],[UnitPrice]]*(1-Table13[[#This Row],[Discount Rate]])</f>
        <v>720</v>
      </c>
      <c r="S103" t="s">
        <v>1058</v>
      </c>
      <c r="T103">
        <f>IF(Table13[[#This Row],[Returned]]="N",0,1)</f>
        <v>0</v>
      </c>
    </row>
    <row r="104" spans="1:20" x14ac:dyDescent="0.35">
      <c r="A104">
        <v>20102</v>
      </c>
      <c r="B104" s="11">
        <v>45347</v>
      </c>
      <c r="C104" t="s">
        <v>23</v>
      </c>
      <c r="D104" t="s">
        <v>15</v>
      </c>
      <c r="E104" t="s">
        <v>166</v>
      </c>
      <c r="F104" t="s">
        <v>17</v>
      </c>
      <c r="G104" t="s">
        <v>35</v>
      </c>
      <c r="H104" s="18">
        <v>7</v>
      </c>
      <c r="I104" s="9">
        <v>23.28</v>
      </c>
      <c r="J104" s="9">
        <v>162.94</v>
      </c>
      <c r="K104" s="5" t="s">
        <v>376</v>
      </c>
      <c r="L104" t="s">
        <v>1056</v>
      </c>
      <c r="M104" t="s">
        <v>30</v>
      </c>
      <c r="N104" t="s">
        <v>21</v>
      </c>
      <c r="O104">
        <v>23.28</v>
      </c>
      <c r="P104" s="5">
        <v>162.96</v>
      </c>
      <c r="Q104" s="10">
        <v>0</v>
      </c>
      <c r="R104" s="19">
        <f>Table13[[#This Row],[Units]]*Table13[[#This Row],[UnitPrice]]*(1-Table13[[#This Row],[Discount Rate]])</f>
        <v>162.96</v>
      </c>
      <c r="S104" t="s">
        <v>1058</v>
      </c>
      <c r="T104">
        <f>IF(Table13[[#This Row],[Returned]]="N",0,1)</f>
        <v>0</v>
      </c>
    </row>
    <row r="105" spans="1:20" x14ac:dyDescent="0.35">
      <c r="A105">
        <v>20103</v>
      </c>
      <c r="B105" s="11">
        <v>45372</v>
      </c>
      <c r="C105" t="s">
        <v>96</v>
      </c>
      <c r="D105" t="s">
        <v>314</v>
      </c>
      <c r="E105" t="s">
        <v>142</v>
      </c>
      <c r="F105" t="s">
        <v>17</v>
      </c>
      <c r="G105" t="s">
        <v>43</v>
      </c>
      <c r="H105" s="18">
        <v>16</v>
      </c>
      <c r="I105" s="9">
        <v>180.83</v>
      </c>
      <c r="J105" s="9">
        <v>2603.9299999999998</v>
      </c>
      <c r="K105" s="5" t="s">
        <v>379</v>
      </c>
      <c r="L105" t="s">
        <v>72</v>
      </c>
      <c r="M105" t="s">
        <v>30</v>
      </c>
      <c r="N105" t="s">
        <v>21</v>
      </c>
      <c r="O105">
        <v>180.83</v>
      </c>
      <c r="P105" s="5">
        <v>2603.9520000000002</v>
      </c>
      <c r="Q105" s="10">
        <v>0.1</v>
      </c>
      <c r="R105" s="19">
        <f>Table13[[#This Row],[Units]]*Table13[[#This Row],[UnitPrice]]*(1-Table13[[#This Row],[Discount Rate]])</f>
        <v>2603.9520000000002</v>
      </c>
      <c r="S105" t="s">
        <v>1058</v>
      </c>
      <c r="T105">
        <f>IF(Table13[[#This Row],[Returned]]="N",0,1)</f>
        <v>0</v>
      </c>
    </row>
    <row r="106" spans="1:20" x14ac:dyDescent="0.35">
      <c r="A106">
        <v>20104</v>
      </c>
      <c r="B106" s="11">
        <v>45345</v>
      </c>
      <c r="C106" t="s">
        <v>23</v>
      </c>
      <c r="D106" t="s">
        <v>24</v>
      </c>
      <c r="E106" t="s">
        <v>50</v>
      </c>
      <c r="F106" t="s">
        <v>17</v>
      </c>
      <c r="G106" t="s">
        <v>43</v>
      </c>
      <c r="H106" s="18">
        <v>19</v>
      </c>
      <c r="I106" s="9">
        <v>450</v>
      </c>
      <c r="J106" s="9">
        <v>6929.45</v>
      </c>
      <c r="K106" s="5" t="s">
        <v>380</v>
      </c>
      <c r="L106" t="s">
        <v>72</v>
      </c>
      <c r="M106" t="s">
        <v>60</v>
      </c>
      <c r="N106" t="s">
        <v>21</v>
      </c>
      <c r="O106">
        <v>450</v>
      </c>
      <c r="P106" s="5">
        <v>7695</v>
      </c>
      <c r="Q106" s="10">
        <v>0.1</v>
      </c>
      <c r="R106" s="19">
        <f>Table13[[#This Row],[Units]]*Table13[[#This Row],[UnitPrice]]*(1-Table13[[#This Row],[Discount Rate]])</f>
        <v>7695</v>
      </c>
      <c r="S106" t="s">
        <v>1058</v>
      </c>
      <c r="T106">
        <f>IF(Table13[[#This Row],[Returned]]="N",0,1)</f>
        <v>0</v>
      </c>
    </row>
    <row r="107" spans="1:20" x14ac:dyDescent="0.35">
      <c r="A107">
        <v>20105</v>
      </c>
      <c r="B107" s="11">
        <v>45355</v>
      </c>
      <c r="C107" t="s">
        <v>84</v>
      </c>
      <c r="D107" t="s">
        <v>55</v>
      </c>
      <c r="E107" t="s">
        <v>85</v>
      </c>
      <c r="F107" t="s">
        <v>17</v>
      </c>
      <c r="G107" t="s">
        <v>35</v>
      </c>
      <c r="H107" s="18">
        <v>3</v>
      </c>
      <c r="I107" s="9">
        <v>69.760000000000005</v>
      </c>
      <c r="J107" s="9">
        <v>209.28</v>
      </c>
      <c r="K107" s="5" t="s">
        <v>383</v>
      </c>
      <c r="L107" t="s">
        <v>1056</v>
      </c>
      <c r="M107" t="s">
        <v>30</v>
      </c>
      <c r="N107" t="s">
        <v>21</v>
      </c>
      <c r="O107">
        <v>69.760000000000005</v>
      </c>
      <c r="P107" s="5">
        <v>209.28000000000003</v>
      </c>
      <c r="Q107" s="10">
        <v>0</v>
      </c>
      <c r="R107" s="19">
        <f>Table13[[#This Row],[Units]]*Table13[[#This Row],[UnitPrice]]*(1-Table13[[#This Row],[Discount Rate]])</f>
        <v>209.28000000000003</v>
      </c>
      <c r="S107" t="s">
        <v>1058</v>
      </c>
      <c r="T107">
        <f>IF(Table13[[#This Row],[Returned]]="N",0,1)</f>
        <v>0</v>
      </c>
    </row>
    <row r="108" spans="1:20" x14ac:dyDescent="0.35">
      <c r="A108">
        <v>20106</v>
      </c>
      <c r="B108" s="11">
        <v>45358</v>
      </c>
      <c r="C108" t="s">
        <v>84</v>
      </c>
      <c r="D108" t="s">
        <v>55</v>
      </c>
      <c r="E108" t="s">
        <v>85</v>
      </c>
      <c r="F108" t="s">
        <v>17</v>
      </c>
      <c r="G108" t="s">
        <v>43</v>
      </c>
      <c r="H108" s="18">
        <v>1</v>
      </c>
      <c r="I108" s="9">
        <v>58.52</v>
      </c>
      <c r="J108" s="9">
        <v>53</v>
      </c>
      <c r="K108" s="5" t="s">
        <v>385</v>
      </c>
      <c r="L108" t="s">
        <v>72</v>
      </c>
      <c r="M108" t="s">
        <v>30</v>
      </c>
      <c r="N108" t="s">
        <v>21</v>
      </c>
      <c r="O108">
        <v>58.52</v>
      </c>
      <c r="P108" s="5">
        <v>52.668000000000006</v>
      </c>
      <c r="Q108" s="10">
        <v>0.1</v>
      </c>
      <c r="R108" s="19">
        <f>Table13[[#This Row],[Units]]*Table13[[#This Row],[UnitPrice]]*(1-Table13[[#This Row],[Discount Rate]])</f>
        <v>52.668000000000006</v>
      </c>
      <c r="S108" t="s">
        <v>1058</v>
      </c>
      <c r="T108">
        <f>IF(Table13[[#This Row],[Returned]]="N",0,1)</f>
        <v>0</v>
      </c>
    </row>
    <row r="109" spans="1:20" x14ac:dyDescent="0.35">
      <c r="A109">
        <v>20107</v>
      </c>
      <c r="B109" s="11">
        <v>45344</v>
      </c>
      <c r="C109" t="s">
        <v>23</v>
      </c>
      <c r="D109" t="s">
        <v>177</v>
      </c>
      <c r="E109" t="s">
        <v>50</v>
      </c>
      <c r="F109" t="s">
        <v>17</v>
      </c>
      <c r="G109" t="s">
        <v>57</v>
      </c>
      <c r="H109" s="18">
        <v>11</v>
      </c>
      <c r="I109" s="9">
        <v>482</v>
      </c>
      <c r="J109" s="9">
        <v>4237.92</v>
      </c>
      <c r="K109" s="5" t="s">
        <v>387</v>
      </c>
      <c r="L109" t="s">
        <v>116</v>
      </c>
      <c r="M109" t="s">
        <v>60</v>
      </c>
      <c r="N109" t="s">
        <v>21</v>
      </c>
      <c r="O109">
        <v>482</v>
      </c>
      <c r="P109" s="5">
        <v>4241.6000000000004</v>
      </c>
      <c r="Q109" s="10">
        <v>0.2</v>
      </c>
      <c r="R109" s="19">
        <f>Table13[[#This Row],[Units]]*Table13[[#This Row],[UnitPrice]]*(1-Table13[[#This Row],[Discount Rate]])</f>
        <v>4241.6000000000004</v>
      </c>
      <c r="S109" t="s">
        <v>1058</v>
      </c>
      <c r="T109">
        <f>IF(Table13[[#This Row],[Returned]]="N",0,1)</f>
        <v>0</v>
      </c>
    </row>
    <row r="110" spans="1:20" x14ac:dyDescent="0.35">
      <c r="A110">
        <v>20108</v>
      </c>
      <c r="B110" s="11">
        <v>45309</v>
      </c>
      <c r="C110" t="s">
        <v>23</v>
      </c>
      <c r="D110" t="s">
        <v>75</v>
      </c>
      <c r="E110" t="s">
        <v>42</v>
      </c>
      <c r="F110" t="s">
        <v>17</v>
      </c>
      <c r="G110" t="s">
        <v>76</v>
      </c>
      <c r="H110" s="18">
        <v>20</v>
      </c>
      <c r="I110" s="9">
        <v>185.93</v>
      </c>
      <c r="J110" s="9">
        <v>3347</v>
      </c>
      <c r="K110" s="5" t="s">
        <v>390</v>
      </c>
      <c r="L110" t="s">
        <v>72</v>
      </c>
      <c r="M110" t="s">
        <v>60</v>
      </c>
      <c r="N110" t="s">
        <v>21</v>
      </c>
      <c r="O110">
        <v>185.93</v>
      </c>
      <c r="P110" s="5">
        <v>3346.7400000000002</v>
      </c>
      <c r="Q110" s="10">
        <v>0.1</v>
      </c>
      <c r="R110" s="19">
        <f>Table13[[#This Row],[Units]]*Table13[[#This Row],[UnitPrice]]*(1-Table13[[#This Row],[Discount Rate]])</f>
        <v>3346.7400000000002</v>
      </c>
      <c r="S110" t="s">
        <v>1058</v>
      </c>
      <c r="T110">
        <f>IF(Table13[[#This Row],[Returned]]="N",0,1)</f>
        <v>0</v>
      </c>
    </row>
    <row r="111" spans="1:20" x14ac:dyDescent="0.35">
      <c r="A111">
        <v>20109</v>
      </c>
      <c r="B111" s="11">
        <v>45342</v>
      </c>
      <c r="C111" t="s">
        <v>96</v>
      </c>
      <c r="D111" t="s">
        <v>314</v>
      </c>
      <c r="E111" t="s">
        <v>101</v>
      </c>
      <c r="F111" t="s">
        <v>17</v>
      </c>
      <c r="G111" t="s">
        <v>43</v>
      </c>
      <c r="H111" s="18">
        <v>5</v>
      </c>
      <c r="I111" s="9">
        <v>131.54</v>
      </c>
      <c r="J111" s="9">
        <v>657.69</v>
      </c>
      <c r="K111" s="5" t="s">
        <v>393</v>
      </c>
      <c r="L111" t="s">
        <v>1056</v>
      </c>
      <c r="M111" t="s">
        <v>60</v>
      </c>
      <c r="N111" t="s">
        <v>21</v>
      </c>
      <c r="O111">
        <v>131.54</v>
      </c>
      <c r="P111" s="5">
        <v>657.69999999999993</v>
      </c>
      <c r="Q111" s="10">
        <v>0</v>
      </c>
      <c r="R111" s="19">
        <f>Table13[[#This Row],[Units]]*Table13[[#This Row],[UnitPrice]]*(1-Table13[[#This Row],[Discount Rate]])</f>
        <v>657.69999999999993</v>
      </c>
      <c r="S111" t="s">
        <v>1058</v>
      </c>
      <c r="T111">
        <f>IF(Table13[[#This Row],[Returned]]="N",0,1)</f>
        <v>0</v>
      </c>
    </row>
    <row r="112" spans="1:20" x14ac:dyDescent="0.35">
      <c r="A112">
        <v>20110</v>
      </c>
      <c r="B112" s="11">
        <v>45337</v>
      </c>
      <c r="C112" t="s">
        <v>23</v>
      </c>
      <c r="D112" t="s">
        <v>177</v>
      </c>
      <c r="E112" t="s">
        <v>42</v>
      </c>
      <c r="F112" t="s">
        <v>395</v>
      </c>
      <c r="G112" t="s">
        <v>57</v>
      </c>
      <c r="H112" s="18">
        <v>8</v>
      </c>
      <c r="I112" s="9">
        <v>200</v>
      </c>
      <c r="J112" s="9">
        <v>1519.66</v>
      </c>
      <c r="K112" s="5" t="s">
        <v>397</v>
      </c>
      <c r="L112" t="s">
        <v>104</v>
      </c>
      <c r="M112" t="s">
        <v>30</v>
      </c>
      <c r="N112" t="s">
        <v>21</v>
      </c>
      <c r="O112">
        <v>200</v>
      </c>
      <c r="P112" s="5">
        <v>1520</v>
      </c>
      <c r="Q112" s="10">
        <v>0.05</v>
      </c>
      <c r="R112" s="19">
        <f>Table13[[#This Row],[Units]]*Table13[[#This Row],[UnitPrice]]*(1-Table13[[#This Row],[Discount Rate]])</f>
        <v>1520</v>
      </c>
      <c r="S112" t="s">
        <v>1058</v>
      </c>
      <c r="T112">
        <f>IF(Table13[[#This Row],[Returned]]="N",0,1)</f>
        <v>0</v>
      </c>
    </row>
    <row r="113" spans="1:20" x14ac:dyDescent="0.35">
      <c r="A113">
        <v>20111</v>
      </c>
      <c r="B113" s="11">
        <v>45337</v>
      </c>
      <c r="C113" t="s">
        <v>100</v>
      </c>
      <c r="D113" t="s">
        <v>141</v>
      </c>
      <c r="E113" t="s">
        <v>25</v>
      </c>
      <c r="F113" t="s">
        <v>26</v>
      </c>
      <c r="G113" t="s">
        <v>18</v>
      </c>
      <c r="H113" s="18">
        <v>18</v>
      </c>
      <c r="I113" s="9">
        <v>120.71</v>
      </c>
      <c r="J113" s="9">
        <v>1955.44</v>
      </c>
      <c r="K113" s="5" t="s">
        <v>399</v>
      </c>
      <c r="L113" t="s">
        <v>72</v>
      </c>
      <c r="M113" t="s">
        <v>60</v>
      </c>
      <c r="N113" t="s">
        <v>21</v>
      </c>
      <c r="O113">
        <v>120.71</v>
      </c>
      <c r="P113" s="5">
        <v>1955.5019999999997</v>
      </c>
      <c r="Q113" s="10">
        <v>0.1</v>
      </c>
      <c r="R113" s="19">
        <f>Table13[[#This Row],[Units]]*Table13[[#This Row],[UnitPrice]]*(1-Table13[[#This Row],[Discount Rate]])</f>
        <v>1955.5019999999997</v>
      </c>
      <c r="S113" t="s">
        <v>1058</v>
      </c>
      <c r="T113">
        <f>IF(Table13[[#This Row],[Returned]]="N",0,1)</f>
        <v>0</v>
      </c>
    </row>
    <row r="114" spans="1:20" x14ac:dyDescent="0.35">
      <c r="A114">
        <v>20112</v>
      </c>
      <c r="B114" s="11">
        <v>45333</v>
      </c>
      <c r="C114" t="s">
        <v>84</v>
      </c>
      <c r="D114" t="s">
        <v>170</v>
      </c>
      <c r="E114" t="s">
        <v>101</v>
      </c>
      <c r="F114" t="s">
        <v>17</v>
      </c>
      <c r="G114" t="s">
        <v>76</v>
      </c>
      <c r="H114" s="18">
        <v>7</v>
      </c>
      <c r="I114" s="9">
        <v>149</v>
      </c>
      <c r="J114" s="9">
        <v>936.75</v>
      </c>
      <c r="K114" s="5" t="s">
        <v>402</v>
      </c>
      <c r="L114" t="s">
        <v>72</v>
      </c>
      <c r="M114" t="s">
        <v>30</v>
      </c>
      <c r="N114" t="s">
        <v>151</v>
      </c>
      <c r="O114">
        <v>149</v>
      </c>
      <c r="P114" s="5">
        <v>938.7</v>
      </c>
      <c r="Q114" s="10">
        <v>0.1</v>
      </c>
      <c r="R114" s="19">
        <f>Table13[[#This Row],[Units]]*Table13[[#This Row],[UnitPrice]]*(1-Table13[[#This Row],[Discount Rate]])</f>
        <v>938.7</v>
      </c>
      <c r="S114" t="s">
        <v>1058</v>
      </c>
      <c r="T114">
        <f>IF(Table13[[#This Row],[Returned]]="N",0,1)</f>
        <v>1</v>
      </c>
    </row>
    <row r="115" spans="1:20" x14ac:dyDescent="0.35">
      <c r="A115">
        <v>20113</v>
      </c>
      <c r="B115" s="11">
        <v>45320</v>
      </c>
      <c r="C115" t="s">
        <v>96</v>
      </c>
      <c r="D115" t="s">
        <v>314</v>
      </c>
      <c r="E115" t="s">
        <v>25</v>
      </c>
      <c r="F115" t="s">
        <v>26</v>
      </c>
      <c r="G115" t="s">
        <v>35</v>
      </c>
      <c r="H115" s="18">
        <v>19</v>
      </c>
      <c r="I115" s="9">
        <v>116</v>
      </c>
      <c r="J115" s="9">
        <v>2199.11</v>
      </c>
      <c r="K115" s="5" t="s">
        <v>404</v>
      </c>
      <c r="L115" t="s">
        <v>1056</v>
      </c>
      <c r="M115" t="s">
        <v>60</v>
      </c>
      <c r="N115" t="s">
        <v>21</v>
      </c>
      <c r="O115">
        <v>116</v>
      </c>
      <c r="P115" s="5">
        <v>2204</v>
      </c>
      <c r="Q115" s="10">
        <v>0</v>
      </c>
      <c r="R115" s="19">
        <f>Table13[[#This Row],[Units]]*Table13[[#This Row],[UnitPrice]]*(1-Table13[[#This Row],[Discount Rate]])</f>
        <v>2204</v>
      </c>
      <c r="S115" t="s">
        <v>1058</v>
      </c>
      <c r="T115">
        <f>IF(Table13[[#This Row],[Returned]]="N",0,1)</f>
        <v>0</v>
      </c>
    </row>
    <row r="116" spans="1:20" x14ac:dyDescent="0.35">
      <c r="A116">
        <v>20114</v>
      </c>
      <c r="B116" s="11">
        <v>45380</v>
      </c>
      <c r="C116" t="s">
        <v>23</v>
      </c>
      <c r="D116" t="s">
        <v>177</v>
      </c>
      <c r="E116" t="s">
        <v>101</v>
      </c>
      <c r="F116" t="s">
        <v>395</v>
      </c>
      <c r="G116" t="s">
        <v>18</v>
      </c>
      <c r="H116" s="18">
        <v>21</v>
      </c>
      <c r="I116" s="9">
        <v>128.91999999999999</v>
      </c>
      <c r="J116" s="9">
        <v>2165.77</v>
      </c>
      <c r="K116" s="5" t="s">
        <v>407</v>
      </c>
      <c r="L116" t="s">
        <v>116</v>
      </c>
      <c r="M116" t="s">
        <v>60</v>
      </c>
      <c r="N116" t="s">
        <v>21</v>
      </c>
      <c r="O116">
        <v>128.91999999999999</v>
      </c>
      <c r="P116" s="5">
        <v>2165.8559999999998</v>
      </c>
      <c r="Q116" s="10">
        <v>0.2</v>
      </c>
      <c r="R116" s="19">
        <f>Table13[[#This Row],[Units]]*Table13[[#This Row],[UnitPrice]]*(1-Table13[[#This Row],[Discount Rate]])</f>
        <v>2165.8559999999998</v>
      </c>
      <c r="S116" t="s">
        <v>1058</v>
      </c>
      <c r="T116">
        <f>IF(Table13[[#This Row],[Returned]]="N",0,1)</f>
        <v>0</v>
      </c>
    </row>
    <row r="117" spans="1:20" x14ac:dyDescent="0.35">
      <c r="A117">
        <v>20115</v>
      </c>
      <c r="B117" s="11">
        <v>45340</v>
      </c>
      <c r="C117" t="s">
        <v>100</v>
      </c>
      <c r="D117" t="s">
        <v>141</v>
      </c>
      <c r="E117" t="s">
        <v>107</v>
      </c>
      <c r="F117" t="s">
        <v>26</v>
      </c>
      <c r="G117" t="s">
        <v>43</v>
      </c>
      <c r="H117" s="18">
        <v>18</v>
      </c>
      <c r="I117" s="9">
        <v>296.17</v>
      </c>
      <c r="J117" s="9">
        <v>5331.04</v>
      </c>
      <c r="K117" s="5" t="s">
        <v>410</v>
      </c>
      <c r="L117" t="s">
        <v>1056</v>
      </c>
      <c r="M117" t="s">
        <v>60</v>
      </c>
      <c r="N117" t="s">
        <v>21</v>
      </c>
      <c r="O117">
        <v>296.17</v>
      </c>
      <c r="P117" s="5">
        <v>5331.06</v>
      </c>
      <c r="Q117" s="10">
        <v>0</v>
      </c>
      <c r="R117" s="19">
        <f>Table13[[#This Row],[Units]]*Table13[[#This Row],[UnitPrice]]*(1-Table13[[#This Row],[Discount Rate]])</f>
        <v>5331.06</v>
      </c>
      <c r="S117" t="s">
        <v>1058</v>
      </c>
      <c r="T117">
        <f>IF(Table13[[#This Row],[Returned]]="N",0,1)</f>
        <v>0</v>
      </c>
    </row>
    <row r="118" spans="1:20" x14ac:dyDescent="0.35">
      <c r="A118">
        <v>20116</v>
      </c>
      <c r="B118" s="11">
        <v>45311</v>
      </c>
      <c r="C118" t="s">
        <v>225</v>
      </c>
      <c r="D118" t="s">
        <v>89</v>
      </c>
      <c r="E118" t="s">
        <v>107</v>
      </c>
      <c r="F118" t="s">
        <v>26</v>
      </c>
      <c r="G118" t="s">
        <v>18</v>
      </c>
      <c r="H118" s="18">
        <v>14</v>
      </c>
      <c r="I118" s="9">
        <v>271</v>
      </c>
      <c r="J118" s="9">
        <v>3787.58</v>
      </c>
      <c r="K118" s="5" t="s">
        <v>413</v>
      </c>
      <c r="L118" t="s">
        <v>1056</v>
      </c>
      <c r="M118" t="s">
        <v>60</v>
      </c>
      <c r="N118" t="s">
        <v>21</v>
      </c>
      <c r="O118">
        <v>271</v>
      </c>
      <c r="P118" s="5">
        <v>3794</v>
      </c>
      <c r="Q118" s="10">
        <v>0</v>
      </c>
      <c r="R118" s="19">
        <f>Table13[[#This Row],[Units]]*Table13[[#This Row],[UnitPrice]]*(1-Table13[[#This Row],[Discount Rate]])</f>
        <v>3794</v>
      </c>
      <c r="S118" t="s">
        <v>1058</v>
      </c>
      <c r="T118">
        <f>IF(Table13[[#This Row],[Returned]]="N",0,1)</f>
        <v>0</v>
      </c>
    </row>
    <row r="119" spans="1:20" x14ac:dyDescent="0.35">
      <c r="A119">
        <v>20117</v>
      </c>
      <c r="B119" s="11">
        <v>45326</v>
      </c>
      <c r="C119" t="s">
        <v>225</v>
      </c>
      <c r="D119" t="s">
        <v>89</v>
      </c>
      <c r="E119" t="s">
        <v>56</v>
      </c>
      <c r="F119" t="s">
        <v>17</v>
      </c>
      <c r="G119" t="s">
        <v>76</v>
      </c>
      <c r="H119" s="18">
        <v>3</v>
      </c>
      <c r="I119" s="9">
        <v>784.64</v>
      </c>
      <c r="J119" s="9">
        <v>1883.13</v>
      </c>
      <c r="K119" s="5" t="s">
        <v>415</v>
      </c>
      <c r="L119" t="s">
        <v>116</v>
      </c>
      <c r="M119" t="s">
        <v>30</v>
      </c>
      <c r="N119" t="s">
        <v>21</v>
      </c>
      <c r="O119">
        <v>784.64</v>
      </c>
      <c r="P119" s="5">
        <v>1883.1360000000002</v>
      </c>
      <c r="Q119" s="10">
        <v>0.2</v>
      </c>
      <c r="R119" s="19">
        <f>Table13[[#This Row],[Units]]*Table13[[#This Row],[UnitPrice]]*(1-Table13[[#This Row],[Discount Rate]])</f>
        <v>1883.1360000000002</v>
      </c>
      <c r="S119" t="s">
        <v>1058</v>
      </c>
      <c r="T119">
        <f>IF(Table13[[#This Row],[Returned]]="N",0,1)</f>
        <v>0</v>
      </c>
    </row>
    <row r="120" spans="1:20" x14ac:dyDescent="0.35">
      <c r="A120">
        <v>20118</v>
      </c>
      <c r="B120" s="11">
        <v>45349</v>
      </c>
      <c r="C120" t="s">
        <v>96</v>
      </c>
      <c r="D120" t="s">
        <v>314</v>
      </c>
      <c r="E120" t="s">
        <v>85</v>
      </c>
      <c r="F120" t="s">
        <v>17</v>
      </c>
      <c r="G120" t="s">
        <v>27</v>
      </c>
      <c r="H120" s="18">
        <v>20</v>
      </c>
      <c r="I120" s="9">
        <v>67</v>
      </c>
      <c r="J120" s="9">
        <v>1079</v>
      </c>
      <c r="K120" s="5" t="s">
        <v>418</v>
      </c>
      <c r="L120" t="s">
        <v>116</v>
      </c>
      <c r="M120" t="s">
        <v>60</v>
      </c>
      <c r="N120" t="s">
        <v>151</v>
      </c>
      <c r="O120">
        <v>67</v>
      </c>
      <c r="P120" s="5">
        <v>1072</v>
      </c>
      <c r="Q120" s="10">
        <v>0.2</v>
      </c>
      <c r="R120" s="19">
        <f>Table13[[#This Row],[Units]]*Table13[[#This Row],[UnitPrice]]*(1-Table13[[#This Row],[Discount Rate]])</f>
        <v>1072</v>
      </c>
      <c r="S120" t="s">
        <v>1058</v>
      </c>
      <c r="T120">
        <f>IF(Table13[[#This Row],[Returned]]="N",0,1)</f>
        <v>1</v>
      </c>
    </row>
    <row r="121" spans="1:20" x14ac:dyDescent="0.35">
      <c r="A121">
        <v>20119</v>
      </c>
      <c r="B121" s="11">
        <v>45310</v>
      </c>
      <c r="C121" t="s">
        <v>23</v>
      </c>
      <c r="D121" t="s">
        <v>177</v>
      </c>
      <c r="E121" t="s">
        <v>16</v>
      </c>
      <c r="F121" t="s">
        <v>17</v>
      </c>
      <c r="G121" t="s">
        <v>43</v>
      </c>
      <c r="H121" s="18">
        <v>20</v>
      </c>
      <c r="I121" s="9">
        <v>32.11</v>
      </c>
      <c r="J121" s="9">
        <v>642.17999999999995</v>
      </c>
      <c r="K121" s="5" t="s">
        <v>421</v>
      </c>
      <c r="L121" t="s">
        <v>1056</v>
      </c>
      <c r="M121" t="s">
        <v>60</v>
      </c>
      <c r="N121" t="s">
        <v>21</v>
      </c>
      <c r="O121">
        <v>32.11</v>
      </c>
      <c r="P121" s="5">
        <v>642.20000000000005</v>
      </c>
      <c r="Q121" s="10">
        <v>0</v>
      </c>
      <c r="R121" s="19">
        <f>Table13[[#This Row],[Units]]*Table13[[#This Row],[UnitPrice]]*(1-Table13[[#This Row],[Discount Rate]])</f>
        <v>642.20000000000005</v>
      </c>
      <c r="S121" t="s">
        <v>1058</v>
      </c>
      <c r="T121">
        <f>IF(Table13[[#This Row],[Returned]]="N",0,1)</f>
        <v>0</v>
      </c>
    </row>
    <row r="122" spans="1:20" x14ac:dyDescent="0.35">
      <c r="A122">
        <v>20120</v>
      </c>
      <c r="B122" s="11">
        <v>45330</v>
      </c>
      <c r="C122" t="s">
        <v>225</v>
      </c>
      <c r="D122" t="s">
        <v>113</v>
      </c>
      <c r="E122" t="s">
        <v>166</v>
      </c>
      <c r="F122" t="s">
        <v>17</v>
      </c>
      <c r="G122" t="s">
        <v>43</v>
      </c>
      <c r="H122" s="18">
        <v>20</v>
      </c>
      <c r="I122" s="9">
        <v>23.36</v>
      </c>
      <c r="J122" s="9">
        <v>443.86</v>
      </c>
      <c r="K122" s="5" t="s">
        <v>424</v>
      </c>
      <c r="L122" t="s">
        <v>104</v>
      </c>
      <c r="M122" t="s">
        <v>30</v>
      </c>
      <c r="N122" t="s">
        <v>21</v>
      </c>
      <c r="O122">
        <v>23.36</v>
      </c>
      <c r="P122" s="5">
        <v>443.84</v>
      </c>
      <c r="Q122" s="10">
        <v>0.05</v>
      </c>
      <c r="R122" s="19">
        <f>Table13[[#This Row],[Units]]*Table13[[#This Row],[UnitPrice]]*(1-Table13[[#This Row],[Discount Rate]])</f>
        <v>443.84</v>
      </c>
      <c r="S122" t="s">
        <v>1058</v>
      </c>
      <c r="T122">
        <f>IF(Table13[[#This Row],[Returned]]="N",0,1)</f>
        <v>0</v>
      </c>
    </row>
    <row r="123" spans="1:20" x14ac:dyDescent="0.35">
      <c r="A123">
        <v>20121</v>
      </c>
      <c r="B123" s="11">
        <v>45359</v>
      </c>
      <c r="C123" t="s">
        <v>84</v>
      </c>
      <c r="D123" t="s">
        <v>170</v>
      </c>
      <c r="E123" t="s">
        <v>142</v>
      </c>
      <c r="F123" t="s">
        <v>17</v>
      </c>
      <c r="G123" t="s">
        <v>43</v>
      </c>
      <c r="H123" s="18">
        <v>9</v>
      </c>
      <c r="I123" s="9">
        <v>183.78</v>
      </c>
      <c r="J123" s="9">
        <v>1571.31</v>
      </c>
      <c r="K123" s="5" t="s">
        <v>426</v>
      </c>
      <c r="L123" t="s">
        <v>104</v>
      </c>
      <c r="M123" t="s">
        <v>30</v>
      </c>
      <c r="N123" t="s">
        <v>21</v>
      </c>
      <c r="O123">
        <v>183.78</v>
      </c>
      <c r="P123" s="5">
        <v>1571.319</v>
      </c>
      <c r="Q123" s="10">
        <v>0.05</v>
      </c>
      <c r="R123" s="19">
        <f>Table13[[#This Row],[Units]]*Table13[[#This Row],[UnitPrice]]*(1-Table13[[#This Row],[Discount Rate]])</f>
        <v>1571.319</v>
      </c>
      <c r="S123" t="s">
        <v>1058</v>
      </c>
      <c r="T123">
        <f>IF(Table13[[#This Row],[Returned]]="N",0,1)</f>
        <v>0</v>
      </c>
    </row>
    <row r="124" spans="1:20" x14ac:dyDescent="0.35">
      <c r="A124">
        <v>20122</v>
      </c>
      <c r="B124" s="11">
        <v>45380</v>
      </c>
      <c r="C124" t="s">
        <v>23</v>
      </c>
      <c r="D124" t="s">
        <v>24</v>
      </c>
      <c r="E124" t="s">
        <v>142</v>
      </c>
      <c r="F124" t="s">
        <v>17</v>
      </c>
      <c r="G124" t="s">
        <v>76</v>
      </c>
      <c r="H124" s="18">
        <v>15</v>
      </c>
      <c r="I124" s="9">
        <v>184.87</v>
      </c>
      <c r="J124" s="9">
        <v>2773.12</v>
      </c>
      <c r="K124" s="5" t="s">
        <v>428</v>
      </c>
      <c r="L124" t="s">
        <v>1056</v>
      </c>
      <c r="M124" t="s">
        <v>30</v>
      </c>
      <c r="N124" t="s">
        <v>21</v>
      </c>
      <c r="O124">
        <v>184.87</v>
      </c>
      <c r="P124" s="5">
        <v>2773.05</v>
      </c>
      <c r="Q124" s="10">
        <v>0</v>
      </c>
      <c r="R124" s="19">
        <f>Table13[[#This Row],[Units]]*Table13[[#This Row],[UnitPrice]]*(1-Table13[[#This Row],[Discount Rate]])</f>
        <v>2773.05</v>
      </c>
      <c r="S124" t="s">
        <v>1058</v>
      </c>
      <c r="T124">
        <f>IF(Table13[[#This Row],[Returned]]="N",0,1)</f>
        <v>0</v>
      </c>
    </row>
    <row r="125" spans="1:20" x14ac:dyDescent="0.35">
      <c r="A125">
        <v>20123</v>
      </c>
      <c r="B125" s="11">
        <v>45351</v>
      </c>
      <c r="C125" t="s">
        <v>84</v>
      </c>
      <c r="D125" t="s">
        <v>55</v>
      </c>
      <c r="E125" t="s">
        <v>34</v>
      </c>
      <c r="F125" t="s">
        <v>26</v>
      </c>
      <c r="G125" t="s">
        <v>18</v>
      </c>
      <c r="H125" s="18">
        <v>24</v>
      </c>
      <c r="I125" s="9">
        <v>379</v>
      </c>
      <c r="J125" s="9">
        <v>8180.94</v>
      </c>
      <c r="K125" s="5" t="s">
        <v>431</v>
      </c>
      <c r="L125" t="s">
        <v>72</v>
      </c>
      <c r="M125" t="s">
        <v>60</v>
      </c>
      <c r="N125" t="s">
        <v>21</v>
      </c>
      <c r="O125">
        <v>379</v>
      </c>
      <c r="P125" s="5">
        <v>8186.4000000000005</v>
      </c>
      <c r="Q125" s="10">
        <v>0.1</v>
      </c>
      <c r="R125" s="19">
        <f>Table13[[#This Row],[Units]]*Table13[[#This Row],[UnitPrice]]*(1-Table13[[#This Row],[Discount Rate]])</f>
        <v>8186.4000000000005</v>
      </c>
      <c r="S125" t="s">
        <v>1058</v>
      </c>
      <c r="T125">
        <f>IF(Table13[[#This Row],[Returned]]="N",0,1)</f>
        <v>0</v>
      </c>
    </row>
    <row r="126" spans="1:20" x14ac:dyDescent="0.35">
      <c r="A126">
        <v>20124</v>
      </c>
      <c r="B126" s="11">
        <v>45343</v>
      </c>
      <c r="C126" t="s">
        <v>225</v>
      </c>
      <c r="D126" t="s">
        <v>113</v>
      </c>
      <c r="E126" t="s">
        <v>166</v>
      </c>
      <c r="F126" t="s">
        <v>17</v>
      </c>
      <c r="G126" t="s">
        <v>57</v>
      </c>
      <c r="H126" s="18">
        <v>11</v>
      </c>
      <c r="I126" s="9">
        <v>26</v>
      </c>
      <c r="J126" s="9">
        <v>282.73</v>
      </c>
      <c r="K126" s="5" t="s">
        <v>433</v>
      </c>
      <c r="L126" t="s">
        <v>1056</v>
      </c>
      <c r="M126" t="s">
        <v>30</v>
      </c>
      <c r="N126" t="s">
        <v>21</v>
      </c>
      <c r="O126">
        <v>26</v>
      </c>
      <c r="P126" s="5">
        <v>286</v>
      </c>
      <c r="Q126" s="10">
        <v>0</v>
      </c>
      <c r="R126" s="19">
        <f>Table13[[#This Row],[Units]]*Table13[[#This Row],[UnitPrice]]*(1-Table13[[#This Row],[Discount Rate]])</f>
        <v>286</v>
      </c>
      <c r="S126" t="s">
        <v>1058</v>
      </c>
      <c r="T126">
        <f>IF(Table13[[#This Row],[Returned]]="N",0,1)</f>
        <v>0</v>
      </c>
    </row>
    <row r="127" spans="1:20" x14ac:dyDescent="0.35">
      <c r="A127">
        <v>20125</v>
      </c>
      <c r="B127" s="11">
        <v>45304</v>
      </c>
      <c r="C127" t="s">
        <v>23</v>
      </c>
      <c r="D127" t="s">
        <v>177</v>
      </c>
      <c r="E127" t="s">
        <v>107</v>
      </c>
      <c r="F127" t="s">
        <v>26</v>
      </c>
      <c r="G127" t="s">
        <v>35</v>
      </c>
      <c r="H127" s="18">
        <v>19</v>
      </c>
      <c r="I127" s="9">
        <v>271.22000000000003</v>
      </c>
      <c r="J127" s="9">
        <v>5153.13</v>
      </c>
      <c r="K127" s="5" t="s">
        <v>436</v>
      </c>
      <c r="L127" t="s">
        <v>1056</v>
      </c>
      <c r="M127" t="s">
        <v>30</v>
      </c>
      <c r="N127" t="s">
        <v>21</v>
      </c>
      <c r="O127">
        <v>271.22000000000003</v>
      </c>
      <c r="P127" s="5">
        <v>5153.18</v>
      </c>
      <c r="Q127" s="10">
        <v>0</v>
      </c>
      <c r="R127" s="19">
        <f>Table13[[#This Row],[Units]]*Table13[[#This Row],[UnitPrice]]*(1-Table13[[#This Row],[Discount Rate]])</f>
        <v>5153.18</v>
      </c>
      <c r="S127" t="s">
        <v>1058</v>
      </c>
      <c r="T127">
        <f>IF(Table13[[#This Row],[Returned]]="N",0,1)</f>
        <v>0</v>
      </c>
    </row>
    <row r="128" spans="1:20" x14ac:dyDescent="0.35">
      <c r="A128">
        <v>20126</v>
      </c>
      <c r="B128" s="11">
        <v>45298</v>
      </c>
      <c r="C128" t="s">
        <v>23</v>
      </c>
      <c r="D128" t="s">
        <v>75</v>
      </c>
      <c r="E128" t="s">
        <v>16</v>
      </c>
      <c r="F128" t="s">
        <v>17</v>
      </c>
      <c r="G128" t="s">
        <v>76</v>
      </c>
      <c r="H128" s="18">
        <v>13</v>
      </c>
      <c r="I128" s="9">
        <v>34.1</v>
      </c>
      <c r="J128" s="9">
        <v>399</v>
      </c>
      <c r="K128" s="5" t="s">
        <v>439</v>
      </c>
      <c r="L128" t="s">
        <v>72</v>
      </c>
      <c r="M128" t="s">
        <v>60</v>
      </c>
      <c r="N128" t="s">
        <v>21</v>
      </c>
      <c r="O128">
        <v>34.1</v>
      </c>
      <c r="P128" s="5">
        <v>398.97</v>
      </c>
      <c r="Q128" s="10">
        <v>0.1</v>
      </c>
      <c r="R128" s="19">
        <f>Table13[[#This Row],[Units]]*Table13[[#This Row],[UnitPrice]]*(1-Table13[[#This Row],[Discount Rate]])</f>
        <v>398.97</v>
      </c>
      <c r="S128" t="s">
        <v>1058</v>
      </c>
      <c r="T128">
        <f>IF(Table13[[#This Row],[Returned]]="N",0,1)</f>
        <v>0</v>
      </c>
    </row>
    <row r="129" spans="1:20" x14ac:dyDescent="0.35">
      <c r="A129">
        <v>20127</v>
      </c>
      <c r="B129" s="11">
        <v>45346</v>
      </c>
      <c r="C129" t="s">
        <v>84</v>
      </c>
      <c r="D129" t="s">
        <v>55</v>
      </c>
      <c r="E129" t="s">
        <v>25</v>
      </c>
      <c r="F129" t="s">
        <v>26</v>
      </c>
      <c r="G129" t="s">
        <v>76</v>
      </c>
      <c r="H129" s="18">
        <v>3</v>
      </c>
      <c r="I129" s="9">
        <v>120</v>
      </c>
      <c r="J129" s="9">
        <v>295.55</v>
      </c>
      <c r="K129" s="5" t="s">
        <v>440</v>
      </c>
      <c r="L129" t="s">
        <v>116</v>
      </c>
      <c r="M129" t="s">
        <v>30</v>
      </c>
      <c r="N129" t="s">
        <v>21</v>
      </c>
      <c r="O129">
        <v>120</v>
      </c>
      <c r="P129" s="5">
        <v>288</v>
      </c>
      <c r="Q129" s="10">
        <v>0.2</v>
      </c>
      <c r="R129" s="19">
        <f>Table13[[#This Row],[Units]]*Table13[[#This Row],[UnitPrice]]*(1-Table13[[#This Row],[Discount Rate]])</f>
        <v>288</v>
      </c>
      <c r="S129" t="s">
        <v>1058</v>
      </c>
      <c r="T129">
        <f>IF(Table13[[#This Row],[Returned]]="N",0,1)</f>
        <v>0</v>
      </c>
    </row>
    <row r="130" spans="1:20" x14ac:dyDescent="0.35">
      <c r="A130">
        <v>20128</v>
      </c>
      <c r="B130" s="11">
        <v>45354</v>
      </c>
      <c r="C130" t="s">
        <v>23</v>
      </c>
      <c r="D130" t="s">
        <v>15</v>
      </c>
      <c r="E130" t="s">
        <v>56</v>
      </c>
      <c r="F130" t="s">
        <v>17</v>
      </c>
      <c r="G130" t="s">
        <v>27</v>
      </c>
      <c r="H130" s="18">
        <v>14</v>
      </c>
      <c r="I130" s="9">
        <v>818.06</v>
      </c>
      <c r="J130" s="9">
        <v>10307.5</v>
      </c>
      <c r="K130" s="5" t="s">
        <v>443</v>
      </c>
      <c r="L130" t="s">
        <v>72</v>
      </c>
      <c r="M130" t="s">
        <v>60</v>
      </c>
      <c r="N130" t="s">
        <v>21</v>
      </c>
      <c r="O130">
        <v>818.06</v>
      </c>
      <c r="P130" s="5">
        <v>10307.556</v>
      </c>
      <c r="Q130" s="10">
        <v>0.1</v>
      </c>
      <c r="R130" s="19">
        <f>Table13[[#This Row],[Units]]*Table13[[#This Row],[UnitPrice]]*(1-Table13[[#This Row],[Discount Rate]])</f>
        <v>10307.556</v>
      </c>
      <c r="S130" t="s">
        <v>1058</v>
      </c>
      <c r="T130">
        <f>IF(Table13[[#This Row],[Returned]]="N",0,1)</f>
        <v>0</v>
      </c>
    </row>
    <row r="131" spans="1:20" x14ac:dyDescent="0.35">
      <c r="A131">
        <v>20129</v>
      </c>
      <c r="B131" s="11">
        <v>45352</v>
      </c>
      <c r="C131" t="s">
        <v>23</v>
      </c>
      <c r="D131" t="s">
        <v>15</v>
      </c>
      <c r="E131" t="s">
        <v>16</v>
      </c>
      <c r="F131" t="s">
        <v>17</v>
      </c>
      <c r="G131" t="s">
        <v>43</v>
      </c>
      <c r="H131" s="18">
        <v>25</v>
      </c>
      <c r="I131" s="9">
        <v>36.049999999999997</v>
      </c>
      <c r="J131" s="9">
        <v>1003.96</v>
      </c>
      <c r="K131" s="5" t="s">
        <v>445</v>
      </c>
      <c r="L131" t="s">
        <v>1056</v>
      </c>
      <c r="M131" t="s">
        <v>60</v>
      </c>
      <c r="N131" t="s">
        <v>21</v>
      </c>
      <c r="O131">
        <v>36.049999999999997</v>
      </c>
      <c r="P131" s="5">
        <v>901.24999999999989</v>
      </c>
      <c r="Q131" s="10">
        <v>0</v>
      </c>
      <c r="R131" s="19">
        <f>Table13[[#This Row],[Units]]*Table13[[#This Row],[UnitPrice]]*(1-Table13[[#This Row],[Discount Rate]])</f>
        <v>901.24999999999989</v>
      </c>
      <c r="S131" t="s">
        <v>1058</v>
      </c>
      <c r="T131">
        <f>IF(Table13[[#This Row],[Returned]]="N",0,1)</f>
        <v>0</v>
      </c>
    </row>
    <row r="132" spans="1:20" x14ac:dyDescent="0.35">
      <c r="A132">
        <v>20130</v>
      </c>
      <c r="B132" s="11">
        <v>45318</v>
      </c>
      <c r="C132" t="s">
        <v>23</v>
      </c>
      <c r="D132" t="s">
        <v>24</v>
      </c>
      <c r="E132" t="s">
        <v>101</v>
      </c>
      <c r="F132" t="s">
        <v>17</v>
      </c>
      <c r="G132" t="s">
        <v>27</v>
      </c>
      <c r="H132" s="18">
        <v>4</v>
      </c>
      <c r="I132" s="9">
        <v>143.30000000000001</v>
      </c>
      <c r="J132" s="9">
        <v>573</v>
      </c>
      <c r="K132" s="5" t="s">
        <v>448</v>
      </c>
      <c r="L132" t="s">
        <v>1056</v>
      </c>
      <c r="M132" t="s">
        <v>30</v>
      </c>
      <c r="N132" t="s">
        <v>21</v>
      </c>
      <c r="O132">
        <v>143.30000000000001</v>
      </c>
      <c r="P132" s="5">
        <v>573.20000000000005</v>
      </c>
      <c r="Q132" s="10">
        <v>0</v>
      </c>
      <c r="R132" s="19">
        <f>Table13[[#This Row],[Units]]*Table13[[#This Row],[UnitPrice]]*(1-Table13[[#This Row],[Discount Rate]])</f>
        <v>573.20000000000005</v>
      </c>
      <c r="S132" t="s">
        <v>1063</v>
      </c>
      <c r="T132">
        <f>IF(Table13[[#This Row],[Returned]]="N",0,1)</f>
        <v>0</v>
      </c>
    </row>
    <row r="133" spans="1:20" x14ac:dyDescent="0.35">
      <c r="A133">
        <v>20131</v>
      </c>
      <c r="B133" s="11">
        <v>45297</v>
      </c>
      <c r="C133" t="s">
        <v>96</v>
      </c>
      <c r="D133" t="s">
        <v>314</v>
      </c>
      <c r="E133" t="s">
        <v>50</v>
      </c>
      <c r="F133" t="s">
        <v>17</v>
      </c>
      <c r="G133" t="s">
        <v>35</v>
      </c>
      <c r="H133" s="18">
        <v>4</v>
      </c>
      <c r="I133" s="9">
        <v>462.99</v>
      </c>
      <c r="J133" s="9">
        <v>1666.77</v>
      </c>
      <c r="K133" s="5" t="s">
        <v>451</v>
      </c>
      <c r="L133" t="s">
        <v>72</v>
      </c>
      <c r="M133" t="s">
        <v>30</v>
      </c>
      <c r="N133" t="s">
        <v>21</v>
      </c>
      <c r="O133">
        <v>462.99</v>
      </c>
      <c r="P133" s="5">
        <v>1666.7640000000001</v>
      </c>
      <c r="Q133" s="10">
        <v>0.1</v>
      </c>
      <c r="R133" s="19">
        <f>Table13[[#This Row],[Units]]*Table13[[#This Row],[UnitPrice]]*(1-Table13[[#This Row],[Discount Rate]])</f>
        <v>1666.7640000000001</v>
      </c>
      <c r="S133" t="s">
        <v>1058</v>
      </c>
      <c r="T133">
        <f>IF(Table13[[#This Row],[Returned]]="N",0,1)</f>
        <v>0</v>
      </c>
    </row>
    <row r="134" spans="1:20" x14ac:dyDescent="0.35">
      <c r="A134">
        <v>20132</v>
      </c>
      <c r="B134" s="11">
        <v>45367</v>
      </c>
      <c r="C134" t="s">
        <v>100</v>
      </c>
      <c r="D134" t="s">
        <v>33</v>
      </c>
      <c r="E134" t="s">
        <v>50</v>
      </c>
      <c r="F134" t="s">
        <v>17</v>
      </c>
      <c r="G134" t="s">
        <v>43</v>
      </c>
      <c r="H134" s="18">
        <v>17</v>
      </c>
      <c r="I134" s="9">
        <v>429.46</v>
      </c>
      <c r="J134" s="9">
        <v>7300.9</v>
      </c>
      <c r="K134" s="5" t="s">
        <v>454</v>
      </c>
      <c r="L134" t="s">
        <v>1056</v>
      </c>
      <c r="M134" t="s">
        <v>60</v>
      </c>
      <c r="N134" t="s">
        <v>21</v>
      </c>
      <c r="O134">
        <v>429.46</v>
      </c>
      <c r="P134" s="5">
        <v>7300.82</v>
      </c>
      <c r="Q134" s="10">
        <v>0</v>
      </c>
      <c r="R134" s="19">
        <f>Table13[[#This Row],[Units]]*Table13[[#This Row],[UnitPrice]]*(1-Table13[[#This Row],[Discount Rate]])</f>
        <v>7300.82</v>
      </c>
      <c r="S134" t="s">
        <v>1058</v>
      </c>
      <c r="T134">
        <f>IF(Table13[[#This Row],[Returned]]="N",0,1)</f>
        <v>0</v>
      </c>
    </row>
    <row r="135" spans="1:20" x14ac:dyDescent="0.35">
      <c r="A135">
        <v>20133</v>
      </c>
      <c r="B135" s="11">
        <v>45358</v>
      </c>
      <c r="C135" t="s">
        <v>100</v>
      </c>
      <c r="D135" t="s">
        <v>33</v>
      </c>
      <c r="E135" t="s">
        <v>142</v>
      </c>
      <c r="F135" t="s">
        <v>17</v>
      </c>
      <c r="G135" t="s">
        <v>18</v>
      </c>
      <c r="H135" s="18">
        <v>16</v>
      </c>
      <c r="I135" s="9">
        <v>180</v>
      </c>
      <c r="J135" s="9">
        <v>2845.84</v>
      </c>
      <c r="K135" s="5" t="s">
        <v>456</v>
      </c>
      <c r="L135" t="s">
        <v>1056</v>
      </c>
      <c r="M135" t="s">
        <v>60</v>
      </c>
      <c r="N135" t="s">
        <v>21</v>
      </c>
      <c r="O135">
        <v>180</v>
      </c>
      <c r="P135" s="5">
        <v>2880</v>
      </c>
      <c r="Q135" s="10">
        <v>0</v>
      </c>
      <c r="R135" s="19">
        <f>Table13[[#This Row],[Units]]*Table13[[#This Row],[UnitPrice]]*(1-Table13[[#This Row],[Discount Rate]])</f>
        <v>2880</v>
      </c>
      <c r="S135" t="s">
        <v>1058</v>
      </c>
      <c r="T135">
        <f>IF(Table13[[#This Row],[Returned]]="N",0,1)</f>
        <v>0</v>
      </c>
    </row>
    <row r="136" spans="1:20" x14ac:dyDescent="0.35">
      <c r="A136">
        <v>20134</v>
      </c>
      <c r="B136" s="11">
        <v>45355</v>
      </c>
      <c r="C136" t="s">
        <v>652</v>
      </c>
      <c r="D136" t="s">
        <v>121</v>
      </c>
      <c r="E136" t="s">
        <v>56</v>
      </c>
      <c r="F136" t="s">
        <v>17</v>
      </c>
      <c r="G136" t="s">
        <v>76</v>
      </c>
      <c r="H136" s="18">
        <v>16</v>
      </c>
      <c r="I136" s="9">
        <v>912.8</v>
      </c>
      <c r="J136" s="9">
        <v>12414.09</v>
      </c>
      <c r="K136" s="5" t="s">
        <v>459</v>
      </c>
      <c r="L136" t="s">
        <v>220</v>
      </c>
      <c r="M136" t="s">
        <v>30</v>
      </c>
      <c r="N136" t="s">
        <v>21</v>
      </c>
      <c r="O136">
        <v>912.8</v>
      </c>
      <c r="P136" s="5">
        <v>12414.08</v>
      </c>
      <c r="Q136" s="10">
        <v>0.15</v>
      </c>
      <c r="R136" s="19">
        <f>Table13[[#This Row],[Units]]*Table13[[#This Row],[UnitPrice]]*(1-Table13[[#This Row],[Discount Rate]])</f>
        <v>12414.08</v>
      </c>
      <c r="S136" t="s">
        <v>1058</v>
      </c>
      <c r="T136">
        <f>IF(Table13[[#This Row],[Returned]]="N",0,1)</f>
        <v>0</v>
      </c>
    </row>
    <row r="137" spans="1:20" x14ac:dyDescent="0.35">
      <c r="A137">
        <v>20135</v>
      </c>
      <c r="B137" s="11">
        <v>45306</v>
      </c>
      <c r="C137" t="s">
        <v>100</v>
      </c>
      <c r="D137" t="s">
        <v>141</v>
      </c>
      <c r="E137" t="s">
        <v>101</v>
      </c>
      <c r="F137" t="s">
        <v>17</v>
      </c>
      <c r="G137" t="s">
        <v>35</v>
      </c>
      <c r="H137" s="18">
        <v>17</v>
      </c>
      <c r="I137" s="9">
        <v>144.33000000000001</v>
      </c>
      <c r="J137" s="9">
        <v>2453.59</v>
      </c>
      <c r="K137" s="5" t="s">
        <v>462</v>
      </c>
      <c r="L137" t="s">
        <v>1056</v>
      </c>
      <c r="M137" t="s">
        <v>30</v>
      </c>
      <c r="N137" t="s">
        <v>21</v>
      </c>
      <c r="O137">
        <v>144.33000000000001</v>
      </c>
      <c r="P137" s="5">
        <v>2453.61</v>
      </c>
      <c r="Q137" s="10">
        <v>0</v>
      </c>
      <c r="R137" s="19">
        <f>Table13[[#This Row],[Units]]*Table13[[#This Row],[UnitPrice]]*(1-Table13[[#This Row],[Discount Rate]])</f>
        <v>2453.61</v>
      </c>
      <c r="S137" t="s">
        <v>1058</v>
      </c>
      <c r="T137">
        <f>IF(Table13[[#This Row],[Returned]]="N",0,1)</f>
        <v>0</v>
      </c>
    </row>
    <row r="138" spans="1:20" x14ac:dyDescent="0.35">
      <c r="A138">
        <v>20136</v>
      </c>
      <c r="B138" s="11">
        <v>45367</v>
      </c>
      <c r="C138" t="s">
        <v>84</v>
      </c>
      <c r="D138" t="s">
        <v>170</v>
      </c>
      <c r="E138" t="s">
        <v>142</v>
      </c>
      <c r="F138" t="s">
        <v>17</v>
      </c>
      <c r="G138" t="s">
        <v>57</v>
      </c>
      <c r="H138" s="18">
        <v>25</v>
      </c>
      <c r="I138" s="9">
        <v>188.73</v>
      </c>
      <c r="J138" s="9">
        <v>4246.43</v>
      </c>
      <c r="K138" s="5" t="s">
        <v>465</v>
      </c>
      <c r="L138" t="s">
        <v>72</v>
      </c>
      <c r="M138" t="s">
        <v>60</v>
      </c>
      <c r="N138" t="s">
        <v>21</v>
      </c>
      <c r="O138">
        <v>188.73</v>
      </c>
      <c r="P138" s="5">
        <v>4246.4250000000002</v>
      </c>
      <c r="Q138" s="10">
        <v>0.1</v>
      </c>
      <c r="R138" s="19">
        <f>Table13[[#This Row],[Units]]*Table13[[#This Row],[UnitPrice]]*(1-Table13[[#This Row],[Discount Rate]])</f>
        <v>4246.4250000000002</v>
      </c>
      <c r="S138" t="s">
        <v>1058</v>
      </c>
      <c r="T138">
        <f>IF(Table13[[#This Row],[Returned]]="N",0,1)</f>
        <v>0</v>
      </c>
    </row>
    <row r="139" spans="1:20" x14ac:dyDescent="0.35">
      <c r="A139">
        <v>20137</v>
      </c>
      <c r="B139" s="11">
        <v>45345</v>
      </c>
      <c r="C139" t="s">
        <v>23</v>
      </c>
      <c r="D139" t="s">
        <v>75</v>
      </c>
      <c r="E139" t="s">
        <v>85</v>
      </c>
      <c r="F139" t="s">
        <v>17</v>
      </c>
      <c r="G139" t="s">
        <v>57</v>
      </c>
      <c r="H139" s="18">
        <v>14</v>
      </c>
      <c r="I139" s="9">
        <v>64.78</v>
      </c>
      <c r="J139" s="9">
        <v>906.89</v>
      </c>
      <c r="K139" s="5" t="s">
        <v>467</v>
      </c>
      <c r="L139" t="s">
        <v>1056</v>
      </c>
      <c r="M139" t="s">
        <v>30</v>
      </c>
      <c r="N139" t="s">
        <v>21</v>
      </c>
      <c r="O139">
        <v>64.78</v>
      </c>
      <c r="P139" s="5">
        <v>906.92000000000007</v>
      </c>
      <c r="Q139" s="10">
        <v>0</v>
      </c>
      <c r="R139" s="19">
        <f>Table13[[#This Row],[Units]]*Table13[[#This Row],[UnitPrice]]*(1-Table13[[#This Row],[Discount Rate]])</f>
        <v>906.92000000000007</v>
      </c>
      <c r="S139" t="s">
        <v>1058</v>
      </c>
      <c r="T139">
        <f>IF(Table13[[#This Row],[Returned]]="N",0,1)</f>
        <v>0</v>
      </c>
    </row>
    <row r="140" spans="1:20" x14ac:dyDescent="0.35">
      <c r="A140">
        <v>20138</v>
      </c>
      <c r="B140" s="11">
        <v>45337</v>
      </c>
      <c r="C140" t="s">
        <v>23</v>
      </c>
      <c r="D140" t="s">
        <v>24</v>
      </c>
      <c r="E140" t="s">
        <v>142</v>
      </c>
      <c r="F140" t="s">
        <v>17</v>
      </c>
      <c r="G140" t="s">
        <v>18</v>
      </c>
      <c r="H140" s="18">
        <v>18</v>
      </c>
      <c r="I140" s="9">
        <v>169.23</v>
      </c>
      <c r="J140" s="9">
        <v>3046</v>
      </c>
      <c r="K140" s="5" t="s">
        <v>469</v>
      </c>
      <c r="L140" t="s">
        <v>1056</v>
      </c>
      <c r="M140" t="s">
        <v>30</v>
      </c>
      <c r="N140" t="s">
        <v>21</v>
      </c>
      <c r="O140">
        <v>169.23</v>
      </c>
      <c r="P140" s="5">
        <v>3046.14</v>
      </c>
      <c r="Q140" s="10">
        <v>0</v>
      </c>
      <c r="R140" s="19">
        <f>Table13[[#This Row],[Units]]*Table13[[#This Row],[UnitPrice]]*(1-Table13[[#This Row],[Discount Rate]])</f>
        <v>3046.14</v>
      </c>
      <c r="S140" t="s">
        <v>1058</v>
      </c>
      <c r="T140">
        <f>IF(Table13[[#This Row],[Returned]]="N",0,1)</f>
        <v>0</v>
      </c>
    </row>
    <row r="141" spans="1:20" x14ac:dyDescent="0.35">
      <c r="A141">
        <v>20139</v>
      </c>
      <c r="B141" s="11">
        <v>45320</v>
      </c>
      <c r="C141" t="s">
        <v>84</v>
      </c>
      <c r="D141" t="s">
        <v>170</v>
      </c>
      <c r="E141" t="s">
        <v>56</v>
      </c>
      <c r="F141" t="s">
        <v>17</v>
      </c>
      <c r="G141" t="s">
        <v>27</v>
      </c>
      <c r="H141" s="18">
        <v>5</v>
      </c>
      <c r="I141" s="9">
        <v>798.98</v>
      </c>
      <c r="J141" s="9">
        <v>3195.93</v>
      </c>
      <c r="K141" s="5" t="s">
        <v>472</v>
      </c>
      <c r="L141" t="s">
        <v>116</v>
      </c>
      <c r="M141" t="s">
        <v>60</v>
      </c>
      <c r="N141" t="s">
        <v>21</v>
      </c>
      <c r="O141">
        <v>798.98</v>
      </c>
      <c r="P141" s="5">
        <v>3195.92</v>
      </c>
      <c r="Q141" s="10">
        <v>0.2</v>
      </c>
      <c r="R141" s="19">
        <f>Table13[[#This Row],[Units]]*Table13[[#This Row],[UnitPrice]]*(1-Table13[[#This Row],[Discount Rate]])</f>
        <v>3195.92</v>
      </c>
      <c r="S141" t="s">
        <v>1058</v>
      </c>
      <c r="T141">
        <f>IF(Table13[[#This Row],[Returned]]="N",0,1)</f>
        <v>0</v>
      </c>
    </row>
    <row r="142" spans="1:20" x14ac:dyDescent="0.35">
      <c r="A142">
        <v>20140</v>
      </c>
      <c r="B142" s="11">
        <v>45369</v>
      </c>
      <c r="C142" t="s">
        <v>652</v>
      </c>
      <c r="D142" t="s">
        <v>41</v>
      </c>
      <c r="E142" t="s">
        <v>107</v>
      </c>
      <c r="F142" t="s">
        <v>26</v>
      </c>
      <c r="G142" t="s">
        <v>57</v>
      </c>
      <c r="H142" s="18">
        <v>11</v>
      </c>
      <c r="I142" s="9">
        <v>255.01</v>
      </c>
      <c r="J142" s="9">
        <v>2805</v>
      </c>
      <c r="K142" s="5" t="s">
        <v>475</v>
      </c>
      <c r="L142" t="s">
        <v>1056</v>
      </c>
      <c r="M142" t="s">
        <v>30</v>
      </c>
      <c r="N142" t="s">
        <v>21</v>
      </c>
      <c r="O142">
        <v>255.01</v>
      </c>
      <c r="P142" s="5">
        <v>2805.1099999999997</v>
      </c>
      <c r="Q142" s="10">
        <v>0</v>
      </c>
      <c r="R142" s="19">
        <f>Table13[[#This Row],[Units]]*Table13[[#This Row],[UnitPrice]]*(1-Table13[[#This Row],[Discount Rate]])</f>
        <v>2805.1099999999997</v>
      </c>
      <c r="S142" t="s">
        <v>1058</v>
      </c>
      <c r="T142">
        <f>IF(Table13[[#This Row],[Returned]]="N",0,1)</f>
        <v>0</v>
      </c>
    </row>
    <row r="143" spans="1:20" x14ac:dyDescent="0.35">
      <c r="A143">
        <v>20141</v>
      </c>
      <c r="B143" s="11">
        <v>45330</v>
      </c>
      <c r="C143" t="s">
        <v>652</v>
      </c>
      <c r="D143" t="s">
        <v>121</v>
      </c>
      <c r="E143" t="s">
        <v>142</v>
      </c>
      <c r="F143" t="s">
        <v>17</v>
      </c>
      <c r="G143" t="s">
        <v>57</v>
      </c>
      <c r="H143" s="18">
        <v>14</v>
      </c>
      <c r="I143" s="9">
        <v>166.68</v>
      </c>
      <c r="J143" s="9">
        <v>2334</v>
      </c>
      <c r="K143" s="5" t="s">
        <v>477</v>
      </c>
      <c r="L143" t="s">
        <v>1056</v>
      </c>
      <c r="M143" t="s">
        <v>60</v>
      </c>
      <c r="N143" t="s">
        <v>21</v>
      </c>
      <c r="O143">
        <v>166.68</v>
      </c>
      <c r="P143" s="5">
        <v>2333.52</v>
      </c>
      <c r="Q143" s="10">
        <v>0</v>
      </c>
      <c r="R143" s="19">
        <f>Table13[[#This Row],[Units]]*Table13[[#This Row],[UnitPrice]]*(1-Table13[[#This Row],[Discount Rate]])</f>
        <v>2333.52</v>
      </c>
      <c r="S143" t="s">
        <v>1058</v>
      </c>
      <c r="T143">
        <f>IF(Table13[[#This Row],[Returned]]="N",0,1)</f>
        <v>0</v>
      </c>
    </row>
    <row r="144" spans="1:20" x14ac:dyDescent="0.35">
      <c r="A144">
        <v>20142</v>
      </c>
      <c r="B144" s="11">
        <v>45371</v>
      </c>
      <c r="C144" t="s">
        <v>225</v>
      </c>
      <c r="D144" t="s">
        <v>89</v>
      </c>
      <c r="E144" t="s">
        <v>85</v>
      </c>
      <c r="F144" t="s">
        <v>17</v>
      </c>
      <c r="G144" t="s">
        <v>18</v>
      </c>
      <c r="H144" s="18">
        <v>13</v>
      </c>
      <c r="I144" s="9">
        <v>69.98</v>
      </c>
      <c r="J144" s="9">
        <v>773.32</v>
      </c>
      <c r="K144" s="5" t="s">
        <v>480</v>
      </c>
      <c r="L144" t="s">
        <v>220</v>
      </c>
      <c r="M144" t="s">
        <v>60</v>
      </c>
      <c r="N144" t="s">
        <v>21</v>
      </c>
      <c r="O144">
        <v>69.98</v>
      </c>
      <c r="P144" s="5">
        <v>773.279</v>
      </c>
      <c r="Q144" s="10">
        <v>0.15</v>
      </c>
      <c r="R144" s="19">
        <f>Table13[[#This Row],[Units]]*Table13[[#This Row],[UnitPrice]]*(1-Table13[[#This Row],[Discount Rate]])</f>
        <v>773.279</v>
      </c>
      <c r="S144" t="s">
        <v>1058</v>
      </c>
      <c r="T144">
        <f>IF(Table13[[#This Row],[Returned]]="N",0,1)</f>
        <v>0</v>
      </c>
    </row>
    <row r="145" spans="1:20" x14ac:dyDescent="0.35">
      <c r="A145">
        <v>20143</v>
      </c>
      <c r="B145" s="11">
        <v>45372</v>
      </c>
      <c r="C145" t="s">
        <v>84</v>
      </c>
      <c r="D145" t="s">
        <v>170</v>
      </c>
      <c r="E145" t="s">
        <v>85</v>
      </c>
      <c r="F145" t="s">
        <v>17</v>
      </c>
      <c r="G145" t="s">
        <v>27</v>
      </c>
      <c r="H145" s="18">
        <v>17</v>
      </c>
      <c r="I145" s="9">
        <v>63.37</v>
      </c>
      <c r="J145" s="9">
        <v>1077.3699999999999</v>
      </c>
      <c r="K145" s="5" t="s">
        <v>482</v>
      </c>
      <c r="L145" t="s">
        <v>1056</v>
      </c>
      <c r="M145" t="s">
        <v>30</v>
      </c>
      <c r="N145" t="s">
        <v>21</v>
      </c>
      <c r="O145">
        <v>63.37</v>
      </c>
      <c r="P145" s="5">
        <v>1077.29</v>
      </c>
      <c r="Q145" s="10">
        <v>0</v>
      </c>
      <c r="R145" s="19">
        <f>Table13[[#This Row],[Units]]*Table13[[#This Row],[UnitPrice]]*(1-Table13[[#This Row],[Discount Rate]])</f>
        <v>1077.29</v>
      </c>
      <c r="S145" t="s">
        <v>1058</v>
      </c>
      <c r="T145">
        <f>IF(Table13[[#This Row],[Returned]]="N",0,1)</f>
        <v>0</v>
      </c>
    </row>
    <row r="146" spans="1:20" x14ac:dyDescent="0.35">
      <c r="A146">
        <v>20144</v>
      </c>
      <c r="B146" s="11">
        <v>45341</v>
      </c>
      <c r="C146" t="s">
        <v>96</v>
      </c>
      <c r="D146" t="s">
        <v>49</v>
      </c>
      <c r="E146" t="s">
        <v>34</v>
      </c>
      <c r="F146" t="s">
        <v>26</v>
      </c>
      <c r="G146" t="s">
        <v>57</v>
      </c>
      <c r="H146" s="18">
        <v>25</v>
      </c>
      <c r="I146" s="9">
        <v>405.86</v>
      </c>
      <c r="J146" s="9">
        <v>10147</v>
      </c>
      <c r="K146" s="5" t="s">
        <v>485</v>
      </c>
      <c r="L146" t="s">
        <v>1056</v>
      </c>
      <c r="M146" t="s">
        <v>60</v>
      </c>
      <c r="N146" t="s">
        <v>21</v>
      </c>
      <c r="O146">
        <v>405.86</v>
      </c>
      <c r="P146" s="5">
        <v>10146.5</v>
      </c>
      <c r="Q146" s="10">
        <v>0</v>
      </c>
      <c r="R146" s="19">
        <f>Table13[[#This Row],[Units]]*Table13[[#This Row],[UnitPrice]]*(1-Table13[[#This Row],[Discount Rate]])</f>
        <v>10146.5</v>
      </c>
      <c r="S146" t="s">
        <v>1058</v>
      </c>
      <c r="T146">
        <f>IF(Table13[[#This Row],[Returned]]="N",0,1)</f>
        <v>0</v>
      </c>
    </row>
    <row r="147" spans="1:20" x14ac:dyDescent="0.35">
      <c r="A147">
        <v>20145</v>
      </c>
      <c r="B147" s="11">
        <v>45374</v>
      </c>
      <c r="C147" t="s">
        <v>225</v>
      </c>
      <c r="D147" t="s">
        <v>113</v>
      </c>
      <c r="E147" t="s">
        <v>85</v>
      </c>
      <c r="F147" t="s">
        <v>17</v>
      </c>
      <c r="G147" t="s">
        <v>27</v>
      </c>
      <c r="H147" s="18">
        <v>10</v>
      </c>
      <c r="I147" s="9">
        <v>62</v>
      </c>
      <c r="J147" s="9">
        <v>559.44000000000005</v>
      </c>
      <c r="K147" s="5" t="s">
        <v>488</v>
      </c>
      <c r="L147" t="s">
        <v>72</v>
      </c>
      <c r="M147" t="s">
        <v>30</v>
      </c>
      <c r="N147" t="s">
        <v>21</v>
      </c>
      <c r="O147">
        <v>62</v>
      </c>
      <c r="P147" s="5">
        <v>558</v>
      </c>
      <c r="Q147" s="10">
        <v>0.1</v>
      </c>
      <c r="R147" s="19">
        <f>Table13[[#This Row],[Units]]*Table13[[#This Row],[UnitPrice]]*(1-Table13[[#This Row],[Discount Rate]])</f>
        <v>558</v>
      </c>
      <c r="S147" t="s">
        <v>1063</v>
      </c>
      <c r="T147">
        <f>IF(Table13[[#This Row],[Returned]]="N",0,1)</f>
        <v>0</v>
      </c>
    </row>
    <row r="148" spans="1:20" x14ac:dyDescent="0.35">
      <c r="A148">
        <v>20146</v>
      </c>
      <c r="B148" s="11">
        <v>45298</v>
      </c>
      <c r="C148" t="s">
        <v>23</v>
      </c>
      <c r="D148" t="s">
        <v>177</v>
      </c>
      <c r="E148" t="s">
        <v>85</v>
      </c>
      <c r="F148" t="s">
        <v>17</v>
      </c>
      <c r="G148" t="s">
        <v>57</v>
      </c>
      <c r="H148" s="18">
        <v>7</v>
      </c>
      <c r="I148" s="9">
        <v>70.25</v>
      </c>
      <c r="J148" s="9">
        <v>491.72</v>
      </c>
      <c r="K148" s="5" t="s">
        <v>491</v>
      </c>
      <c r="L148" t="s">
        <v>1056</v>
      </c>
      <c r="M148" t="s">
        <v>30</v>
      </c>
      <c r="N148" t="s">
        <v>21</v>
      </c>
      <c r="O148">
        <v>70.25</v>
      </c>
      <c r="P148" s="5">
        <v>491.75</v>
      </c>
      <c r="Q148" s="10">
        <v>0</v>
      </c>
      <c r="R148" s="19">
        <f>Table13[[#This Row],[Units]]*Table13[[#This Row],[UnitPrice]]*(1-Table13[[#This Row],[Discount Rate]])</f>
        <v>491.75</v>
      </c>
      <c r="S148" t="s">
        <v>1058</v>
      </c>
      <c r="T148">
        <f>IF(Table13[[#This Row],[Returned]]="N",0,1)</f>
        <v>0</v>
      </c>
    </row>
    <row r="149" spans="1:20" x14ac:dyDescent="0.35">
      <c r="A149">
        <v>20147</v>
      </c>
      <c r="B149" s="11">
        <v>45323</v>
      </c>
      <c r="C149" t="s">
        <v>23</v>
      </c>
      <c r="D149" t="s">
        <v>177</v>
      </c>
      <c r="E149" t="s">
        <v>25</v>
      </c>
      <c r="F149" t="s">
        <v>26</v>
      </c>
      <c r="G149" t="s">
        <v>57</v>
      </c>
      <c r="H149" s="18">
        <v>22</v>
      </c>
      <c r="I149" s="9">
        <v>109.68</v>
      </c>
      <c r="J149" s="9">
        <v>2412.86</v>
      </c>
      <c r="K149" s="5" t="s">
        <v>494</v>
      </c>
      <c r="L149" t="s">
        <v>1056</v>
      </c>
      <c r="M149" t="s">
        <v>60</v>
      </c>
      <c r="N149" t="s">
        <v>21</v>
      </c>
      <c r="O149">
        <v>109.68</v>
      </c>
      <c r="P149" s="5">
        <v>2412.96</v>
      </c>
      <c r="Q149" s="10">
        <v>0</v>
      </c>
      <c r="R149" s="19">
        <f>Table13[[#This Row],[Units]]*Table13[[#This Row],[UnitPrice]]*(1-Table13[[#This Row],[Discount Rate]])</f>
        <v>2412.96</v>
      </c>
      <c r="S149" t="s">
        <v>1058</v>
      </c>
      <c r="T149">
        <f>IF(Table13[[#This Row],[Returned]]="N",0,1)</f>
        <v>0</v>
      </c>
    </row>
    <row r="150" spans="1:20" x14ac:dyDescent="0.35">
      <c r="A150">
        <v>20148</v>
      </c>
      <c r="B150" s="11">
        <v>45366</v>
      </c>
      <c r="C150" t="s">
        <v>652</v>
      </c>
      <c r="D150" t="s">
        <v>41</v>
      </c>
      <c r="E150" t="s">
        <v>69</v>
      </c>
      <c r="F150" t="s">
        <v>26</v>
      </c>
      <c r="G150" t="s">
        <v>43</v>
      </c>
      <c r="H150" s="18">
        <v>16</v>
      </c>
      <c r="I150" s="9">
        <v>32.729999999999997</v>
      </c>
      <c r="J150" s="9">
        <v>471.32</v>
      </c>
      <c r="K150" s="5" t="s">
        <v>497</v>
      </c>
      <c r="L150" t="s">
        <v>72</v>
      </c>
      <c r="M150" t="s">
        <v>30</v>
      </c>
      <c r="N150" t="s">
        <v>21</v>
      </c>
      <c r="O150">
        <v>32.729999999999997</v>
      </c>
      <c r="P150" s="5">
        <v>471.31199999999995</v>
      </c>
      <c r="Q150" s="10">
        <v>0.1</v>
      </c>
      <c r="R150" s="19">
        <f>Table13[[#This Row],[Units]]*Table13[[#This Row],[UnitPrice]]*(1-Table13[[#This Row],[Discount Rate]])</f>
        <v>471.31199999999995</v>
      </c>
      <c r="S150" t="s">
        <v>1058</v>
      </c>
      <c r="T150">
        <f>IF(Table13[[#This Row],[Returned]]="N",0,1)</f>
        <v>0</v>
      </c>
    </row>
    <row r="151" spans="1:20" x14ac:dyDescent="0.35">
      <c r="A151">
        <v>20149</v>
      </c>
      <c r="B151" s="11">
        <v>45364</v>
      </c>
      <c r="C151" t="s">
        <v>84</v>
      </c>
      <c r="D151" t="s">
        <v>55</v>
      </c>
      <c r="E151" t="s">
        <v>25</v>
      </c>
      <c r="F151" t="s">
        <v>26</v>
      </c>
      <c r="G151" t="s">
        <v>27</v>
      </c>
      <c r="H151" s="18">
        <v>19</v>
      </c>
      <c r="I151" s="9">
        <v>114.98</v>
      </c>
      <c r="J151" s="9">
        <v>2184.6999999999998</v>
      </c>
      <c r="K151" s="5" t="s">
        <v>499</v>
      </c>
      <c r="L151" t="s">
        <v>1056</v>
      </c>
      <c r="M151" t="s">
        <v>30</v>
      </c>
      <c r="N151" t="s">
        <v>21</v>
      </c>
      <c r="O151">
        <v>114.98</v>
      </c>
      <c r="P151" s="5">
        <v>2184.62</v>
      </c>
      <c r="Q151" s="10">
        <v>0</v>
      </c>
      <c r="R151" s="19">
        <f>Table13[[#This Row],[Units]]*Table13[[#This Row],[UnitPrice]]*(1-Table13[[#This Row],[Discount Rate]])</f>
        <v>2184.62</v>
      </c>
      <c r="S151" t="s">
        <v>1058</v>
      </c>
      <c r="T151">
        <f>IF(Table13[[#This Row],[Returned]]="N",0,1)</f>
        <v>0</v>
      </c>
    </row>
    <row r="152" spans="1:20" x14ac:dyDescent="0.35">
      <c r="A152">
        <v>20150</v>
      </c>
      <c r="B152" s="11">
        <v>45338</v>
      </c>
      <c r="C152" t="s">
        <v>225</v>
      </c>
      <c r="D152" t="s">
        <v>113</v>
      </c>
      <c r="E152" t="s">
        <v>25</v>
      </c>
      <c r="F152" t="s">
        <v>26</v>
      </c>
      <c r="G152" t="s">
        <v>35</v>
      </c>
      <c r="H152" s="18">
        <v>17</v>
      </c>
      <c r="I152" s="9">
        <v>116.67</v>
      </c>
      <c r="J152" s="9">
        <v>1685.88</v>
      </c>
      <c r="K152" s="5" t="s">
        <v>501</v>
      </c>
      <c r="L152" t="s">
        <v>220</v>
      </c>
      <c r="M152" t="s">
        <v>30</v>
      </c>
      <c r="N152" t="s">
        <v>21</v>
      </c>
      <c r="O152">
        <v>116.67</v>
      </c>
      <c r="P152" s="5">
        <v>1685.8815</v>
      </c>
      <c r="Q152" s="10">
        <v>0.15</v>
      </c>
      <c r="R152" s="19">
        <f>Table13[[#This Row],[Units]]*Table13[[#This Row],[UnitPrice]]*(1-Table13[[#This Row],[Discount Rate]])</f>
        <v>1685.8815</v>
      </c>
      <c r="S152" t="s">
        <v>1058</v>
      </c>
      <c r="T152">
        <f>IF(Table13[[#This Row],[Returned]]="N",0,1)</f>
        <v>0</v>
      </c>
    </row>
    <row r="153" spans="1:20" x14ac:dyDescent="0.35">
      <c r="A153">
        <v>20151</v>
      </c>
      <c r="B153" s="11">
        <v>45344</v>
      </c>
      <c r="C153" t="s">
        <v>100</v>
      </c>
      <c r="D153" t="s">
        <v>68</v>
      </c>
      <c r="E153" t="s">
        <v>69</v>
      </c>
      <c r="F153" t="s">
        <v>26</v>
      </c>
      <c r="G153" t="s">
        <v>35</v>
      </c>
      <c r="H153" s="18">
        <v>10</v>
      </c>
      <c r="I153" s="9">
        <v>32.04</v>
      </c>
      <c r="J153" s="9">
        <v>256.32</v>
      </c>
      <c r="K153" s="5" t="s">
        <v>503</v>
      </c>
      <c r="L153" t="s">
        <v>116</v>
      </c>
      <c r="M153" t="s">
        <v>60</v>
      </c>
      <c r="N153" t="s">
        <v>21</v>
      </c>
      <c r="O153">
        <v>32.04</v>
      </c>
      <c r="P153" s="5">
        <v>256.32</v>
      </c>
      <c r="Q153" s="10">
        <v>0.2</v>
      </c>
      <c r="R153" s="19">
        <f>Table13[[#This Row],[Units]]*Table13[[#This Row],[UnitPrice]]*(1-Table13[[#This Row],[Discount Rate]])</f>
        <v>256.32</v>
      </c>
      <c r="S153" t="s">
        <v>1058</v>
      </c>
      <c r="T153">
        <f>IF(Table13[[#This Row],[Returned]]="N",0,1)</f>
        <v>0</v>
      </c>
    </row>
    <row r="154" spans="1:20" x14ac:dyDescent="0.35">
      <c r="A154">
        <v>20152</v>
      </c>
      <c r="B154" s="11">
        <v>45315</v>
      </c>
      <c r="C154" t="s">
        <v>225</v>
      </c>
      <c r="D154" t="s">
        <v>89</v>
      </c>
      <c r="E154" t="s">
        <v>42</v>
      </c>
      <c r="F154" t="s">
        <v>17</v>
      </c>
      <c r="G154" t="s">
        <v>76</v>
      </c>
      <c r="H154" s="18">
        <v>13</v>
      </c>
      <c r="I154" s="9">
        <v>202.54</v>
      </c>
      <c r="J154" s="9">
        <v>2106.46</v>
      </c>
      <c r="K154" s="5" t="s">
        <v>506</v>
      </c>
      <c r="L154" t="s">
        <v>116</v>
      </c>
      <c r="M154" t="s">
        <v>30</v>
      </c>
      <c r="N154" t="s">
        <v>21</v>
      </c>
      <c r="O154">
        <v>202.54</v>
      </c>
      <c r="P154" s="5">
        <v>2106.4160000000002</v>
      </c>
      <c r="Q154" s="10">
        <v>0.2</v>
      </c>
      <c r="R154" s="19">
        <f>Table13[[#This Row],[Units]]*Table13[[#This Row],[UnitPrice]]*(1-Table13[[#This Row],[Discount Rate]])</f>
        <v>2106.4160000000002</v>
      </c>
      <c r="S154" t="s">
        <v>1058</v>
      </c>
      <c r="T154">
        <f>IF(Table13[[#This Row],[Returned]]="N",0,1)</f>
        <v>0</v>
      </c>
    </row>
    <row r="155" spans="1:20" x14ac:dyDescent="0.35">
      <c r="A155">
        <v>20153</v>
      </c>
      <c r="B155" s="11">
        <v>45292</v>
      </c>
      <c r="C155" t="s">
        <v>23</v>
      </c>
      <c r="D155" t="s">
        <v>177</v>
      </c>
      <c r="E155" t="s">
        <v>42</v>
      </c>
      <c r="F155" t="s">
        <v>17</v>
      </c>
      <c r="G155" t="s">
        <v>27</v>
      </c>
      <c r="H155" s="18">
        <v>17</v>
      </c>
      <c r="I155" s="9">
        <v>213.06</v>
      </c>
      <c r="J155" s="9">
        <v>3622.03</v>
      </c>
      <c r="K155" s="5" t="s">
        <v>508</v>
      </c>
      <c r="L155" t="s">
        <v>1056</v>
      </c>
      <c r="M155" t="s">
        <v>30</v>
      </c>
      <c r="N155" t="s">
        <v>21</v>
      </c>
      <c r="O155">
        <v>213.06</v>
      </c>
      <c r="P155" s="5">
        <v>3622.02</v>
      </c>
      <c r="Q155" s="10">
        <v>0</v>
      </c>
      <c r="R155" s="19">
        <f>Table13[[#This Row],[Units]]*Table13[[#This Row],[UnitPrice]]*(1-Table13[[#This Row],[Discount Rate]])</f>
        <v>3622.02</v>
      </c>
      <c r="S155" t="s">
        <v>1058</v>
      </c>
      <c r="T155">
        <f>IF(Table13[[#This Row],[Returned]]="N",0,1)</f>
        <v>0</v>
      </c>
    </row>
    <row r="156" spans="1:20" x14ac:dyDescent="0.35">
      <c r="A156">
        <v>20154</v>
      </c>
      <c r="B156" s="11">
        <v>45292</v>
      </c>
      <c r="C156" t="s">
        <v>23</v>
      </c>
      <c r="D156" t="s">
        <v>177</v>
      </c>
      <c r="E156" t="s">
        <v>25</v>
      </c>
      <c r="F156" t="s">
        <v>26</v>
      </c>
      <c r="G156" t="s">
        <v>35</v>
      </c>
      <c r="H156" s="18">
        <v>19</v>
      </c>
      <c r="I156" s="9">
        <v>114.11</v>
      </c>
      <c r="J156" s="9">
        <v>2168.06</v>
      </c>
      <c r="K156" s="5" t="s">
        <v>510</v>
      </c>
      <c r="L156" t="s">
        <v>1056</v>
      </c>
      <c r="M156" t="s">
        <v>60</v>
      </c>
      <c r="N156" t="s">
        <v>21</v>
      </c>
      <c r="O156">
        <v>114.11</v>
      </c>
      <c r="P156" s="5">
        <v>2168.09</v>
      </c>
      <c r="Q156" s="10">
        <v>0</v>
      </c>
      <c r="R156" s="19">
        <f>Table13[[#This Row],[Units]]*Table13[[#This Row],[UnitPrice]]*(1-Table13[[#This Row],[Discount Rate]])</f>
        <v>2168.09</v>
      </c>
      <c r="S156" t="s">
        <v>1058</v>
      </c>
      <c r="T156">
        <f>IF(Table13[[#This Row],[Returned]]="N",0,1)</f>
        <v>0</v>
      </c>
    </row>
    <row r="157" spans="1:20" x14ac:dyDescent="0.35">
      <c r="A157">
        <v>20155</v>
      </c>
      <c r="B157" s="11">
        <v>45309</v>
      </c>
      <c r="C157" t="s">
        <v>23</v>
      </c>
      <c r="D157" t="s">
        <v>24</v>
      </c>
      <c r="E157" t="s">
        <v>166</v>
      </c>
      <c r="F157" t="s">
        <v>17</v>
      </c>
      <c r="G157" t="s">
        <v>27</v>
      </c>
      <c r="H157" s="18">
        <v>12</v>
      </c>
      <c r="I157" s="9">
        <v>27.46</v>
      </c>
      <c r="J157" s="9">
        <v>329.51</v>
      </c>
      <c r="K157" s="5" t="s">
        <v>513</v>
      </c>
      <c r="L157" t="s">
        <v>1056</v>
      </c>
      <c r="M157" t="s">
        <v>30</v>
      </c>
      <c r="N157" t="s">
        <v>21</v>
      </c>
      <c r="O157">
        <v>27.46</v>
      </c>
      <c r="P157" s="5">
        <v>329.52</v>
      </c>
      <c r="Q157" s="10">
        <v>0</v>
      </c>
      <c r="R157" s="19">
        <f>Table13[[#This Row],[Units]]*Table13[[#This Row],[UnitPrice]]*(1-Table13[[#This Row],[Discount Rate]])</f>
        <v>329.52</v>
      </c>
      <c r="S157" t="s">
        <v>1058</v>
      </c>
      <c r="T157">
        <f>IF(Table13[[#This Row],[Returned]]="N",0,1)</f>
        <v>0</v>
      </c>
    </row>
    <row r="158" spans="1:20" x14ac:dyDescent="0.35">
      <c r="A158">
        <v>20156</v>
      </c>
      <c r="B158" s="11">
        <v>45368</v>
      </c>
      <c r="C158" t="s">
        <v>23</v>
      </c>
      <c r="D158" t="s">
        <v>24</v>
      </c>
      <c r="E158" t="s">
        <v>85</v>
      </c>
      <c r="F158" t="s">
        <v>17</v>
      </c>
      <c r="G158" t="s">
        <v>43</v>
      </c>
      <c r="H158" s="18">
        <v>23</v>
      </c>
      <c r="I158" s="9">
        <v>58.57</v>
      </c>
      <c r="J158" s="9">
        <v>1279.73</v>
      </c>
      <c r="K158" s="5" t="s">
        <v>516</v>
      </c>
      <c r="L158" t="s">
        <v>104</v>
      </c>
      <c r="M158" t="s">
        <v>60</v>
      </c>
      <c r="N158" t="s">
        <v>151</v>
      </c>
      <c r="O158">
        <v>58.57</v>
      </c>
      <c r="P158" s="5">
        <v>1279.7544999999998</v>
      </c>
      <c r="Q158" s="10">
        <v>0.05</v>
      </c>
      <c r="R158" s="19">
        <f>Table13[[#This Row],[Units]]*Table13[[#This Row],[UnitPrice]]*(1-Table13[[#This Row],[Discount Rate]])</f>
        <v>1279.7544999999998</v>
      </c>
      <c r="S158" t="s">
        <v>1058</v>
      </c>
      <c r="T158">
        <f>IF(Table13[[#This Row],[Returned]]="N",0,1)</f>
        <v>1</v>
      </c>
    </row>
    <row r="159" spans="1:20" x14ac:dyDescent="0.35">
      <c r="A159">
        <v>20157</v>
      </c>
      <c r="B159" s="11">
        <v>45303</v>
      </c>
      <c r="C159" t="s">
        <v>23</v>
      </c>
      <c r="D159" t="s">
        <v>24</v>
      </c>
      <c r="E159" t="s">
        <v>16</v>
      </c>
      <c r="F159" t="s">
        <v>395</v>
      </c>
      <c r="G159" t="s">
        <v>18</v>
      </c>
      <c r="H159" s="18">
        <v>17</v>
      </c>
      <c r="I159" s="9">
        <v>35.81</v>
      </c>
      <c r="J159" s="9">
        <v>517.4</v>
      </c>
      <c r="K159" s="5" t="s">
        <v>519</v>
      </c>
      <c r="L159" t="s">
        <v>220</v>
      </c>
      <c r="M159" t="s">
        <v>30</v>
      </c>
      <c r="N159" t="s">
        <v>21</v>
      </c>
      <c r="O159">
        <v>35.81</v>
      </c>
      <c r="P159" s="5">
        <v>517.45449999999994</v>
      </c>
      <c r="Q159" s="10">
        <v>0.15</v>
      </c>
      <c r="R159" s="19">
        <f>Table13[[#This Row],[Units]]*Table13[[#This Row],[UnitPrice]]*(1-Table13[[#This Row],[Discount Rate]])</f>
        <v>517.45449999999994</v>
      </c>
      <c r="S159" t="s">
        <v>1058</v>
      </c>
      <c r="T159">
        <f>IF(Table13[[#This Row],[Returned]]="N",0,1)</f>
        <v>0</v>
      </c>
    </row>
    <row r="160" spans="1:20" x14ac:dyDescent="0.35">
      <c r="A160">
        <v>20158</v>
      </c>
      <c r="B160" s="11">
        <v>45323</v>
      </c>
      <c r="C160" t="s">
        <v>96</v>
      </c>
      <c r="D160" t="s">
        <v>314</v>
      </c>
      <c r="E160" t="s">
        <v>69</v>
      </c>
      <c r="F160" t="s">
        <v>26</v>
      </c>
      <c r="G160" t="s">
        <v>27</v>
      </c>
      <c r="H160" s="18">
        <v>19</v>
      </c>
      <c r="I160" s="9">
        <v>32.25</v>
      </c>
      <c r="J160" s="9">
        <v>612.66</v>
      </c>
      <c r="K160" s="5" t="s">
        <v>522</v>
      </c>
      <c r="L160" t="s">
        <v>1056</v>
      </c>
      <c r="M160" t="s">
        <v>60</v>
      </c>
      <c r="N160" t="s">
        <v>21</v>
      </c>
      <c r="O160">
        <v>32.25</v>
      </c>
      <c r="P160" s="5">
        <v>612.75</v>
      </c>
      <c r="Q160" s="10">
        <v>0</v>
      </c>
      <c r="R160" s="19">
        <f>Table13[[#This Row],[Units]]*Table13[[#This Row],[UnitPrice]]*(1-Table13[[#This Row],[Discount Rate]])</f>
        <v>612.75</v>
      </c>
      <c r="S160" t="s">
        <v>1058</v>
      </c>
      <c r="T160">
        <f>IF(Table13[[#This Row],[Returned]]="N",0,1)</f>
        <v>0</v>
      </c>
    </row>
    <row r="161" spans="1:20" x14ac:dyDescent="0.35">
      <c r="A161">
        <v>20159</v>
      </c>
      <c r="B161" s="11">
        <v>45319</v>
      </c>
      <c r="C161" t="s">
        <v>23</v>
      </c>
      <c r="D161" t="s">
        <v>24</v>
      </c>
      <c r="E161" t="s">
        <v>50</v>
      </c>
      <c r="F161" t="s">
        <v>17</v>
      </c>
      <c r="G161" t="s">
        <v>18</v>
      </c>
      <c r="H161" s="18">
        <v>8</v>
      </c>
      <c r="I161" s="9">
        <v>425.69</v>
      </c>
      <c r="J161" s="9">
        <v>3064.99</v>
      </c>
      <c r="K161" s="5" t="s">
        <v>525</v>
      </c>
      <c r="L161" t="s">
        <v>72</v>
      </c>
      <c r="M161" t="s">
        <v>30</v>
      </c>
      <c r="N161" t="s">
        <v>21</v>
      </c>
      <c r="O161">
        <v>425.69</v>
      </c>
      <c r="P161" s="5">
        <v>3064.9679999999998</v>
      </c>
      <c r="Q161" s="10">
        <v>0.1</v>
      </c>
      <c r="R161" s="19">
        <f>Table13[[#This Row],[Units]]*Table13[[#This Row],[UnitPrice]]*(1-Table13[[#This Row],[Discount Rate]])</f>
        <v>3064.9679999999998</v>
      </c>
      <c r="S161" t="s">
        <v>1058</v>
      </c>
      <c r="T161">
        <f>IF(Table13[[#This Row],[Returned]]="N",0,1)</f>
        <v>0</v>
      </c>
    </row>
    <row r="162" spans="1:20" x14ac:dyDescent="0.35">
      <c r="A162">
        <v>20160</v>
      </c>
      <c r="B162" s="11">
        <v>45365</v>
      </c>
      <c r="C162" t="s">
        <v>96</v>
      </c>
      <c r="D162" t="s">
        <v>314</v>
      </c>
      <c r="E162" t="s">
        <v>166</v>
      </c>
      <c r="F162" t="s">
        <v>17</v>
      </c>
      <c r="G162" t="s">
        <v>43</v>
      </c>
      <c r="H162" s="18">
        <v>8</v>
      </c>
      <c r="I162" s="9">
        <v>24.28</v>
      </c>
      <c r="J162" s="9">
        <v>165.1</v>
      </c>
      <c r="K162" s="5" t="s">
        <v>527</v>
      </c>
      <c r="L162" t="s">
        <v>528</v>
      </c>
      <c r="M162" t="s">
        <v>30</v>
      </c>
      <c r="N162" t="s">
        <v>21</v>
      </c>
      <c r="O162">
        <v>24.28</v>
      </c>
      <c r="P162" s="5">
        <v>165.10400000000001</v>
      </c>
      <c r="Q162" s="10">
        <v>0.15</v>
      </c>
      <c r="R162" s="19">
        <f>Table13[[#This Row],[Units]]*Table13[[#This Row],[UnitPrice]]*(1-Table13[[#This Row],[Discount Rate]])</f>
        <v>165.10400000000001</v>
      </c>
      <c r="S162" t="s">
        <v>1058</v>
      </c>
      <c r="T162">
        <f>IF(Table13[[#This Row],[Returned]]="N",0,1)</f>
        <v>0</v>
      </c>
    </row>
    <row r="163" spans="1:20" x14ac:dyDescent="0.35">
      <c r="A163">
        <v>20161</v>
      </c>
      <c r="B163" s="11">
        <v>45325</v>
      </c>
      <c r="C163" t="s">
        <v>23</v>
      </c>
      <c r="D163" t="s">
        <v>15</v>
      </c>
      <c r="E163" t="s">
        <v>56</v>
      </c>
      <c r="F163" t="s">
        <v>17</v>
      </c>
      <c r="G163" t="s">
        <v>18</v>
      </c>
      <c r="H163" s="18">
        <v>18</v>
      </c>
      <c r="I163" s="9">
        <v>831.93</v>
      </c>
      <c r="J163" s="9">
        <v>14974.77</v>
      </c>
      <c r="K163" s="5" t="s">
        <v>531</v>
      </c>
      <c r="L163" t="s">
        <v>1056</v>
      </c>
      <c r="M163" t="s">
        <v>60</v>
      </c>
      <c r="N163" t="s">
        <v>21</v>
      </c>
      <c r="O163">
        <v>831.93</v>
      </c>
      <c r="P163" s="5">
        <v>14974.74</v>
      </c>
      <c r="Q163" s="10">
        <v>0</v>
      </c>
      <c r="R163" s="19">
        <f>Table13[[#This Row],[Units]]*Table13[[#This Row],[UnitPrice]]*(1-Table13[[#This Row],[Discount Rate]])</f>
        <v>14974.74</v>
      </c>
      <c r="S163" t="s">
        <v>1058</v>
      </c>
      <c r="T163">
        <f>IF(Table13[[#This Row],[Returned]]="N",0,1)</f>
        <v>0</v>
      </c>
    </row>
    <row r="164" spans="1:20" x14ac:dyDescent="0.35">
      <c r="A164">
        <v>20162</v>
      </c>
      <c r="B164" s="11">
        <v>45293</v>
      </c>
      <c r="C164" t="s">
        <v>100</v>
      </c>
      <c r="D164" t="s">
        <v>68</v>
      </c>
      <c r="E164" t="s">
        <v>16</v>
      </c>
      <c r="F164" t="s">
        <v>17</v>
      </c>
      <c r="G164" t="s">
        <v>76</v>
      </c>
      <c r="H164" s="18">
        <v>12</v>
      </c>
      <c r="I164" s="9">
        <v>33.46</v>
      </c>
      <c r="J164" s="9">
        <v>361</v>
      </c>
      <c r="K164" s="5" t="s">
        <v>533</v>
      </c>
      <c r="L164" t="s">
        <v>72</v>
      </c>
      <c r="M164" t="s">
        <v>30</v>
      </c>
      <c r="N164" t="s">
        <v>21</v>
      </c>
      <c r="O164">
        <v>33.46</v>
      </c>
      <c r="P164" s="5">
        <v>361.36799999999999</v>
      </c>
      <c r="Q164" s="10">
        <v>0.1</v>
      </c>
      <c r="R164" s="19">
        <f>Table13[[#This Row],[Units]]*Table13[[#This Row],[UnitPrice]]*(1-Table13[[#This Row],[Discount Rate]])</f>
        <v>361.36799999999999</v>
      </c>
      <c r="S164" t="s">
        <v>1058</v>
      </c>
      <c r="T164">
        <f>IF(Table13[[#This Row],[Returned]]="N",0,1)</f>
        <v>0</v>
      </c>
    </row>
    <row r="165" spans="1:20" x14ac:dyDescent="0.35">
      <c r="A165">
        <v>20163</v>
      </c>
      <c r="B165" s="11">
        <v>45365</v>
      </c>
      <c r="C165" t="s">
        <v>225</v>
      </c>
      <c r="D165" t="s">
        <v>113</v>
      </c>
      <c r="E165" t="s">
        <v>166</v>
      </c>
      <c r="F165" t="s">
        <v>17</v>
      </c>
      <c r="G165" t="s">
        <v>27</v>
      </c>
      <c r="H165" s="18">
        <v>25</v>
      </c>
      <c r="I165" s="9">
        <v>23.32</v>
      </c>
      <c r="J165" s="9">
        <v>405</v>
      </c>
      <c r="K165" s="5" t="s">
        <v>536</v>
      </c>
      <c r="L165" t="s">
        <v>72</v>
      </c>
      <c r="M165" t="s">
        <v>60</v>
      </c>
      <c r="N165" t="s">
        <v>21</v>
      </c>
      <c r="O165">
        <v>23.32</v>
      </c>
      <c r="P165" s="5">
        <v>524.70000000000005</v>
      </c>
      <c r="Q165" s="10">
        <v>0.1</v>
      </c>
      <c r="R165" s="19">
        <f>Table13[[#This Row],[Units]]*Table13[[#This Row],[UnitPrice]]*(1-Table13[[#This Row],[Discount Rate]])</f>
        <v>524.70000000000005</v>
      </c>
      <c r="S165" t="s">
        <v>1058</v>
      </c>
      <c r="T165">
        <f>IF(Table13[[#This Row],[Returned]]="N",0,1)</f>
        <v>0</v>
      </c>
    </row>
    <row r="166" spans="1:20" x14ac:dyDescent="0.35">
      <c r="A166">
        <v>20164</v>
      </c>
      <c r="B166" s="11">
        <v>45348</v>
      </c>
      <c r="C166" t="s">
        <v>96</v>
      </c>
      <c r="D166" t="s">
        <v>314</v>
      </c>
      <c r="E166" t="s">
        <v>107</v>
      </c>
      <c r="F166" t="s">
        <v>26</v>
      </c>
      <c r="G166" t="s">
        <v>35</v>
      </c>
      <c r="H166" s="18">
        <v>5</v>
      </c>
      <c r="I166" s="9">
        <v>288</v>
      </c>
      <c r="J166" s="9">
        <v>1367.39</v>
      </c>
      <c r="K166" s="5" t="s">
        <v>538</v>
      </c>
      <c r="L166" t="s">
        <v>104</v>
      </c>
      <c r="M166" t="s">
        <v>30</v>
      </c>
      <c r="N166" t="s">
        <v>21</v>
      </c>
      <c r="O166">
        <v>288</v>
      </c>
      <c r="P166" s="5">
        <v>1368</v>
      </c>
      <c r="Q166" s="10">
        <v>0.05</v>
      </c>
      <c r="R166" s="19">
        <f>Table13[[#This Row],[Units]]*Table13[[#This Row],[UnitPrice]]*(1-Table13[[#This Row],[Discount Rate]])</f>
        <v>1368</v>
      </c>
      <c r="S166" t="s">
        <v>1058</v>
      </c>
      <c r="T166">
        <f>IF(Table13[[#This Row],[Returned]]="N",0,1)</f>
        <v>0</v>
      </c>
    </row>
    <row r="167" spans="1:20" x14ac:dyDescent="0.35">
      <c r="A167">
        <v>20165</v>
      </c>
      <c r="B167" s="11">
        <v>45328</v>
      </c>
      <c r="C167" t="s">
        <v>96</v>
      </c>
      <c r="D167" t="s">
        <v>314</v>
      </c>
      <c r="E167" t="s">
        <v>34</v>
      </c>
      <c r="F167" t="s">
        <v>26</v>
      </c>
      <c r="G167" t="s">
        <v>35</v>
      </c>
      <c r="H167" s="18">
        <v>15</v>
      </c>
      <c r="I167" s="9">
        <v>386.65</v>
      </c>
      <c r="J167" s="9">
        <v>5219.8100000000004</v>
      </c>
      <c r="K167" s="5" t="s">
        <v>541</v>
      </c>
      <c r="L167" t="s">
        <v>72</v>
      </c>
      <c r="M167" t="s">
        <v>60</v>
      </c>
      <c r="N167" t="s">
        <v>21</v>
      </c>
      <c r="O167">
        <v>386.65</v>
      </c>
      <c r="P167" s="5">
        <v>5219.7750000000005</v>
      </c>
      <c r="Q167" s="10">
        <v>0.1</v>
      </c>
      <c r="R167" s="19">
        <f>Table13[[#This Row],[Units]]*Table13[[#This Row],[UnitPrice]]*(1-Table13[[#This Row],[Discount Rate]])</f>
        <v>5219.7750000000005</v>
      </c>
      <c r="S167" t="s">
        <v>1058</v>
      </c>
      <c r="T167">
        <f>IF(Table13[[#This Row],[Returned]]="N",0,1)</f>
        <v>0</v>
      </c>
    </row>
    <row r="168" spans="1:20" x14ac:dyDescent="0.35">
      <c r="A168">
        <v>20166</v>
      </c>
      <c r="B168" s="11">
        <v>45321</v>
      </c>
      <c r="C168" t="s">
        <v>652</v>
      </c>
      <c r="D168" t="s">
        <v>41</v>
      </c>
      <c r="E168" t="s">
        <v>69</v>
      </c>
      <c r="F168" t="s">
        <v>26</v>
      </c>
      <c r="G168" t="s">
        <v>27</v>
      </c>
      <c r="H168" s="18">
        <v>9</v>
      </c>
      <c r="I168" s="9">
        <v>32</v>
      </c>
      <c r="J168" s="9">
        <v>292.01</v>
      </c>
      <c r="K168" s="5" t="s">
        <v>543</v>
      </c>
      <c r="L168" t="s">
        <v>1056</v>
      </c>
      <c r="M168" t="s">
        <v>30</v>
      </c>
      <c r="N168" t="s">
        <v>21</v>
      </c>
      <c r="O168">
        <v>32</v>
      </c>
      <c r="P168" s="5">
        <v>288</v>
      </c>
      <c r="Q168" s="10">
        <v>0</v>
      </c>
      <c r="R168" s="19">
        <f>Table13[[#This Row],[Units]]*Table13[[#This Row],[UnitPrice]]*(1-Table13[[#This Row],[Discount Rate]])</f>
        <v>288</v>
      </c>
      <c r="S168" t="s">
        <v>1058</v>
      </c>
      <c r="T168">
        <f>IF(Table13[[#This Row],[Returned]]="N",0,1)</f>
        <v>0</v>
      </c>
    </row>
    <row r="169" spans="1:20" x14ac:dyDescent="0.35">
      <c r="A169">
        <v>20167</v>
      </c>
      <c r="B169" s="11">
        <v>45320</v>
      </c>
      <c r="C169" t="s">
        <v>23</v>
      </c>
      <c r="D169" t="s">
        <v>24</v>
      </c>
      <c r="E169" t="s">
        <v>166</v>
      </c>
      <c r="F169" t="s">
        <v>17</v>
      </c>
      <c r="G169" t="s">
        <v>27</v>
      </c>
      <c r="H169" s="18">
        <v>16</v>
      </c>
      <c r="I169" s="9">
        <v>24.89</v>
      </c>
      <c r="J169" s="9">
        <v>358.35</v>
      </c>
      <c r="K169" s="5" t="s">
        <v>546</v>
      </c>
      <c r="L169" t="s">
        <v>72</v>
      </c>
      <c r="M169" t="s">
        <v>30</v>
      </c>
      <c r="N169" t="s">
        <v>21</v>
      </c>
      <c r="O169">
        <v>24.89</v>
      </c>
      <c r="P169" s="5">
        <v>358.416</v>
      </c>
      <c r="Q169" s="10">
        <v>0.1</v>
      </c>
      <c r="R169" s="19">
        <f>Table13[[#This Row],[Units]]*Table13[[#This Row],[UnitPrice]]*(1-Table13[[#This Row],[Discount Rate]])</f>
        <v>358.416</v>
      </c>
      <c r="S169" t="s">
        <v>1058</v>
      </c>
      <c r="T169">
        <f>IF(Table13[[#This Row],[Returned]]="N",0,1)</f>
        <v>0</v>
      </c>
    </row>
    <row r="170" spans="1:20" x14ac:dyDescent="0.35">
      <c r="A170">
        <v>20168</v>
      </c>
      <c r="B170" s="11">
        <v>45348</v>
      </c>
      <c r="C170" t="s">
        <v>225</v>
      </c>
      <c r="D170" t="s">
        <v>113</v>
      </c>
      <c r="E170" t="s">
        <v>34</v>
      </c>
      <c r="F170" t="s">
        <v>26</v>
      </c>
      <c r="G170" t="s">
        <v>43</v>
      </c>
      <c r="H170" s="18">
        <v>14</v>
      </c>
      <c r="I170" s="9">
        <v>393.32</v>
      </c>
      <c r="J170" s="9">
        <v>4405</v>
      </c>
      <c r="K170" s="5" t="s">
        <v>548</v>
      </c>
      <c r="L170" t="s">
        <v>116</v>
      </c>
      <c r="M170" t="s">
        <v>60</v>
      </c>
      <c r="N170" t="s">
        <v>151</v>
      </c>
      <c r="O170">
        <v>393.32</v>
      </c>
      <c r="P170" s="5">
        <v>4405.1840000000002</v>
      </c>
      <c r="Q170" s="10">
        <v>0.2</v>
      </c>
      <c r="R170" s="19">
        <f>Table13[[#This Row],[Units]]*Table13[[#This Row],[UnitPrice]]*(1-Table13[[#This Row],[Discount Rate]])</f>
        <v>4405.1840000000002</v>
      </c>
      <c r="S170" t="s">
        <v>1058</v>
      </c>
      <c r="T170">
        <f>IF(Table13[[#This Row],[Returned]]="N",0,1)</f>
        <v>1</v>
      </c>
    </row>
    <row r="171" spans="1:20" x14ac:dyDescent="0.35">
      <c r="A171">
        <v>20169</v>
      </c>
      <c r="B171" s="11">
        <v>45348</v>
      </c>
      <c r="C171" t="s">
        <v>100</v>
      </c>
      <c r="D171" t="s">
        <v>68</v>
      </c>
      <c r="E171" t="s">
        <v>69</v>
      </c>
      <c r="F171" t="s">
        <v>26</v>
      </c>
      <c r="G171" t="s">
        <v>35</v>
      </c>
      <c r="H171" s="18">
        <v>3</v>
      </c>
      <c r="I171" s="9">
        <v>38.159999999999997</v>
      </c>
      <c r="J171" s="9">
        <v>114.48</v>
      </c>
      <c r="K171" s="5" t="s">
        <v>551</v>
      </c>
      <c r="L171" t="s">
        <v>1056</v>
      </c>
      <c r="M171" t="s">
        <v>30</v>
      </c>
      <c r="N171" t="s">
        <v>21</v>
      </c>
      <c r="O171">
        <v>38.159999999999997</v>
      </c>
      <c r="P171" s="5">
        <v>114.47999999999999</v>
      </c>
      <c r="Q171" s="10">
        <v>0</v>
      </c>
      <c r="R171" s="19">
        <f>Table13[[#This Row],[Units]]*Table13[[#This Row],[UnitPrice]]*(1-Table13[[#This Row],[Discount Rate]])</f>
        <v>114.47999999999999</v>
      </c>
      <c r="S171" t="s">
        <v>1058</v>
      </c>
      <c r="T171">
        <f>IF(Table13[[#This Row],[Returned]]="N",0,1)</f>
        <v>0</v>
      </c>
    </row>
    <row r="172" spans="1:20" x14ac:dyDescent="0.35">
      <c r="A172">
        <v>20170</v>
      </c>
      <c r="B172" s="11">
        <v>45297</v>
      </c>
      <c r="C172" t="s">
        <v>225</v>
      </c>
      <c r="D172" t="s">
        <v>113</v>
      </c>
      <c r="E172" t="s">
        <v>107</v>
      </c>
      <c r="F172" t="s">
        <v>26</v>
      </c>
      <c r="G172" t="s">
        <v>43</v>
      </c>
      <c r="H172" s="18">
        <v>11</v>
      </c>
      <c r="I172" s="9">
        <v>293.7</v>
      </c>
      <c r="J172" s="9">
        <v>3041.13</v>
      </c>
      <c r="K172" s="5" t="s">
        <v>553</v>
      </c>
      <c r="L172" t="s">
        <v>116</v>
      </c>
      <c r="M172" t="s">
        <v>60</v>
      </c>
      <c r="N172" t="s">
        <v>21</v>
      </c>
      <c r="O172">
        <v>293.7</v>
      </c>
      <c r="P172" s="5">
        <v>2584.56</v>
      </c>
      <c r="Q172" s="10">
        <v>0.2</v>
      </c>
      <c r="R172" s="19">
        <f>Table13[[#This Row],[Units]]*Table13[[#This Row],[UnitPrice]]*(1-Table13[[#This Row],[Discount Rate]])</f>
        <v>2584.56</v>
      </c>
      <c r="S172" t="s">
        <v>1058</v>
      </c>
      <c r="T172">
        <f>IF(Table13[[#This Row],[Returned]]="N",0,1)</f>
        <v>0</v>
      </c>
    </row>
    <row r="173" spans="1:20" x14ac:dyDescent="0.35">
      <c r="A173">
        <v>20171</v>
      </c>
      <c r="B173" s="11">
        <v>45297</v>
      </c>
      <c r="C173" t="s">
        <v>225</v>
      </c>
      <c r="D173" t="s">
        <v>89</v>
      </c>
      <c r="E173" t="s">
        <v>56</v>
      </c>
      <c r="F173" t="s">
        <v>17</v>
      </c>
      <c r="G173" t="s">
        <v>76</v>
      </c>
      <c r="H173" s="18">
        <v>18</v>
      </c>
      <c r="I173" s="9">
        <v>786.39</v>
      </c>
      <c r="J173" s="9">
        <v>14155.03</v>
      </c>
      <c r="K173" s="5" t="s">
        <v>555</v>
      </c>
      <c r="L173" t="s">
        <v>1056</v>
      </c>
      <c r="M173" t="s">
        <v>30</v>
      </c>
      <c r="N173" t="s">
        <v>21</v>
      </c>
      <c r="O173">
        <v>786.39</v>
      </c>
      <c r="P173" s="5">
        <v>14155.02</v>
      </c>
      <c r="Q173" s="10">
        <v>0</v>
      </c>
      <c r="R173" s="19">
        <f>Table13[[#This Row],[Units]]*Table13[[#This Row],[UnitPrice]]*(1-Table13[[#This Row],[Discount Rate]])</f>
        <v>14155.02</v>
      </c>
      <c r="S173" t="s">
        <v>1058</v>
      </c>
      <c r="T173">
        <f>IF(Table13[[#This Row],[Returned]]="N",0,1)</f>
        <v>0</v>
      </c>
    </row>
    <row r="174" spans="1:20" x14ac:dyDescent="0.35">
      <c r="A174">
        <v>20172</v>
      </c>
      <c r="B174" s="11">
        <v>45333</v>
      </c>
      <c r="C174" t="s">
        <v>225</v>
      </c>
      <c r="D174" t="s">
        <v>113</v>
      </c>
      <c r="E174" t="s">
        <v>142</v>
      </c>
      <c r="F174" t="s">
        <v>17</v>
      </c>
      <c r="G174" t="s">
        <v>76</v>
      </c>
      <c r="H174" s="18">
        <v>20</v>
      </c>
      <c r="I174" s="9">
        <v>181.96</v>
      </c>
      <c r="J174" s="9">
        <v>2911.4</v>
      </c>
      <c r="K174" s="5" t="s">
        <v>558</v>
      </c>
      <c r="L174" t="s">
        <v>241</v>
      </c>
      <c r="M174" t="s">
        <v>30</v>
      </c>
      <c r="N174" t="s">
        <v>21</v>
      </c>
      <c r="O174">
        <v>181.96</v>
      </c>
      <c r="P174" s="5">
        <v>2911.3600000000006</v>
      </c>
      <c r="Q174" s="10">
        <v>0.2</v>
      </c>
      <c r="R174" s="19">
        <f>Table13[[#This Row],[Units]]*Table13[[#This Row],[UnitPrice]]*(1-Table13[[#This Row],[Discount Rate]])</f>
        <v>2911.3600000000006</v>
      </c>
      <c r="S174" t="s">
        <v>1058</v>
      </c>
      <c r="T174">
        <f>IF(Table13[[#This Row],[Returned]]="N",0,1)</f>
        <v>0</v>
      </c>
    </row>
    <row r="175" spans="1:20" x14ac:dyDescent="0.35">
      <c r="A175">
        <v>20173</v>
      </c>
      <c r="B175" s="11">
        <v>45369</v>
      </c>
      <c r="C175" t="s">
        <v>225</v>
      </c>
      <c r="D175" t="s">
        <v>113</v>
      </c>
      <c r="E175" t="s">
        <v>25</v>
      </c>
      <c r="F175" t="s">
        <v>26</v>
      </c>
      <c r="G175" t="s">
        <v>76</v>
      </c>
      <c r="H175" s="18">
        <v>4</v>
      </c>
      <c r="I175" s="9">
        <v>109.6</v>
      </c>
      <c r="J175" s="9">
        <v>394.56</v>
      </c>
      <c r="K175" s="5" t="s">
        <v>561</v>
      </c>
      <c r="L175" t="s">
        <v>72</v>
      </c>
      <c r="M175" t="s">
        <v>30</v>
      </c>
      <c r="N175" t="s">
        <v>21</v>
      </c>
      <c r="O175">
        <v>109.6</v>
      </c>
      <c r="P175" s="5">
        <v>394.56</v>
      </c>
      <c r="Q175" s="10">
        <v>0.1</v>
      </c>
      <c r="R175" s="19">
        <f>Table13[[#This Row],[Units]]*Table13[[#This Row],[UnitPrice]]*(1-Table13[[#This Row],[Discount Rate]])</f>
        <v>394.56</v>
      </c>
      <c r="S175" t="s">
        <v>1058</v>
      </c>
      <c r="T175">
        <f>IF(Table13[[#This Row],[Returned]]="N",0,1)</f>
        <v>0</v>
      </c>
    </row>
    <row r="176" spans="1:20" x14ac:dyDescent="0.35">
      <c r="A176">
        <v>20174</v>
      </c>
      <c r="B176" s="11">
        <v>45316</v>
      </c>
      <c r="C176" t="s">
        <v>96</v>
      </c>
      <c r="D176" t="s">
        <v>314</v>
      </c>
      <c r="E176" t="s">
        <v>25</v>
      </c>
      <c r="F176" t="s">
        <v>26</v>
      </c>
      <c r="G176" t="s">
        <v>43</v>
      </c>
      <c r="H176" s="18">
        <v>14</v>
      </c>
      <c r="I176" s="9">
        <v>127.06</v>
      </c>
      <c r="J176" s="9">
        <v>1779</v>
      </c>
      <c r="K176" s="5" t="s">
        <v>564</v>
      </c>
      <c r="L176" t="s">
        <v>1056</v>
      </c>
      <c r="M176" t="s">
        <v>30</v>
      </c>
      <c r="N176" t="s">
        <v>21</v>
      </c>
      <c r="O176">
        <v>127.06</v>
      </c>
      <c r="P176" s="5">
        <v>1778.8400000000001</v>
      </c>
      <c r="Q176" s="10">
        <v>0</v>
      </c>
      <c r="R176" s="19">
        <f>Table13[[#This Row],[Units]]*Table13[[#This Row],[UnitPrice]]*(1-Table13[[#This Row],[Discount Rate]])</f>
        <v>1778.8400000000001</v>
      </c>
      <c r="S176" t="s">
        <v>1058</v>
      </c>
      <c r="T176">
        <f>IF(Table13[[#This Row],[Returned]]="N",0,1)</f>
        <v>0</v>
      </c>
    </row>
    <row r="177" spans="1:20" x14ac:dyDescent="0.35">
      <c r="A177">
        <v>20175</v>
      </c>
      <c r="B177" s="11">
        <v>45333</v>
      </c>
      <c r="C177" t="s">
        <v>96</v>
      </c>
      <c r="D177" t="s">
        <v>314</v>
      </c>
      <c r="E177" t="s">
        <v>34</v>
      </c>
      <c r="F177" t="s">
        <v>26</v>
      </c>
      <c r="G177" t="s">
        <v>35</v>
      </c>
      <c r="H177" s="18">
        <v>14</v>
      </c>
      <c r="I177" s="9">
        <v>392.01</v>
      </c>
      <c r="J177" s="9">
        <v>4939.3500000000004</v>
      </c>
      <c r="K177" s="5" t="s">
        <v>566</v>
      </c>
      <c r="L177" t="s">
        <v>72</v>
      </c>
      <c r="M177" t="s">
        <v>30</v>
      </c>
      <c r="N177" t="s">
        <v>21</v>
      </c>
      <c r="O177">
        <v>392.01</v>
      </c>
      <c r="P177" s="5">
        <v>4939.326</v>
      </c>
      <c r="Q177" s="10">
        <v>0.1</v>
      </c>
      <c r="R177" s="19">
        <f>Table13[[#This Row],[Units]]*Table13[[#This Row],[UnitPrice]]*(1-Table13[[#This Row],[Discount Rate]])</f>
        <v>4939.326</v>
      </c>
      <c r="S177" t="s">
        <v>1058</v>
      </c>
      <c r="T177">
        <f>IF(Table13[[#This Row],[Returned]]="N",0,1)</f>
        <v>0</v>
      </c>
    </row>
    <row r="178" spans="1:20" x14ac:dyDescent="0.35">
      <c r="A178">
        <v>20176</v>
      </c>
      <c r="B178" s="11">
        <v>45304</v>
      </c>
      <c r="C178" t="s">
        <v>23</v>
      </c>
      <c r="D178" t="s">
        <v>177</v>
      </c>
      <c r="E178" t="s">
        <v>107</v>
      </c>
      <c r="F178" t="s">
        <v>126</v>
      </c>
      <c r="G178" t="s">
        <v>18</v>
      </c>
      <c r="H178" s="18">
        <v>10</v>
      </c>
      <c r="I178" s="9">
        <v>281</v>
      </c>
      <c r="J178" s="9">
        <v>2528.88</v>
      </c>
      <c r="K178" s="5" t="s">
        <v>569</v>
      </c>
      <c r="L178" t="s">
        <v>570</v>
      </c>
      <c r="M178" t="s">
        <v>30</v>
      </c>
      <c r="N178" t="s">
        <v>21</v>
      </c>
      <c r="O178">
        <v>281</v>
      </c>
      <c r="P178" s="5">
        <v>2529</v>
      </c>
      <c r="Q178" s="10">
        <v>0.1</v>
      </c>
      <c r="R178" s="19">
        <f>Table13[[#This Row],[Units]]*Table13[[#This Row],[UnitPrice]]*(1-Table13[[#This Row],[Discount Rate]])</f>
        <v>2529</v>
      </c>
      <c r="S178" t="s">
        <v>1058</v>
      </c>
      <c r="T178">
        <f>IF(Table13[[#This Row],[Returned]]="N",0,1)</f>
        <v>0</v>
      </c>
    </row>
    <row r="179" spans="1:20" x14ac:dyDescent="0.35">
      <c r="A179">
        <v>20177</v>
      </c>
      <c r="B179" s="11">
        <v>45299</v>
      </c>
      <c r="C179" t="s">
        <v>23</v>
      </c>
      <c r="D179" t="s">
        <v>24</v>
      </c>
      <c r="E179" t="s">
        <v>50</v>
      </c>
      <c r="F179" t="s">
        <v>17</v>
      </c>
      <c r="G179" t="s">
        <v>43</v>
      </c>
      <c r="H179" s="18">
        <v>7</v>
      </c>
      <c r="I179" s="9">
        <v>470.12</v>
      </c>
      <c r="J179" s="9">
        <v>3290.86</v>
      </c>
      <c r="K179" s="5" t="s">
        <v>572</v>
      </c>
      <c r="L179" t="s">
        <v>1056</v>
      </c>
      <c r="M179" t="s">
        <v>30</v>
      </c>
      <c r="N179" t="s">
        <v>21</v>
      </c>
      <c r="O179">
        <v>470.12</v>
      </c>
      <c r="P179" s="5">
        <v>3290.84</v>
      </c>
      <c r="Q179" s="10">
        <v>0</v>
      </c>
      <c r="R179" s="19">
        <f>Table13[[#This Row],[Units]]*Table13[[#This Row],[UnitPrice]]*(1-Table13[[#This Row],[Discount Rate]])</f>
        <v>3290.84</v>
      </c>
      <c r="S179" t="s">
        <v>1058</v>
      </c>
      <c r="T179">
        <f>IF(Table13[[#This Row],[Returned]]="N",0,1)</f>
        <v>0</v>
      </c>
    </row>
    <row r="180" spans="1:20" x14ac:dyDescent="0.35">
      <c r="A180">
        <v>20178</v>
      </c>
      <c r="B180" s="11">
        <v>45335</v>
      </c>
      <c r="C180" t="s">
        <v>84</v>
      </c>
      <c r="D180" t="s">
        <v>55</v>
      </c>
      <c r="E180" t="s">
        <v>34</v>
      </c>
      <c r="F180" t="s">
        <v>26</v>
      </c>
      <c r="G180" t="s">
        <v>27</v>
      </c>
      <c r="H180" s="18">
        <v>10</v>
      </c>
      <c r="I180" s="9">
        <v>404.82</v>
      </c>
      <c r="J180" s="9">
        <v>3643.4</v>
      </c>
      <c r="K180" s="5" t="s">
        <v>574</v>
      </c>
      <c r="L180" t="s">
        <v>72</v>
      </c>
      <c r="M180" t="s">
        <v>30</v>
      </c>
      <c r="N180" t="s">
        <v>21</v>
      </c>
      <c r="O180">
        <v>404.82</v>
      </c>
      <c r="P180" s="5">
        <v>3643.38</v>
      </c>
      <c r="Q180" s="10">
        <v>0.1</v>
      </c>
      <c r="R180" s="19">
        <f>Table13[[#This Row],[Units]]*Table13[[#This Row],[UnitPrice]]*(1-Table13[[#This Row],[Discount Rate]])</f>
        <v>3643.38</v>
      </c>
      <c r="S180" t="s">
        <v>1058</v>
      </c>
      <c r="T180">
        <f>IF(Table13[[#This Row],[Returned]]="N",0,1)</f>
        <v>0</v>
      </c>
    </row>
    <row r="181" spans="1:20" x14ac:dyDescent="0.35">
      <c r="A181">
        <v>20179</v>
      </c>
      <c r="B181" s="11">
        <v>45368</v>
      </c>
      <c r="C181" t="s">
        <v>100</v>
      </c>
      <c r="D181" t="s">
        <v>33</v>
      </c>
      <c r="E181" t="s">
        <v>42</v>
      </c>
      <c r="F181" t="s">
        <v>17</v>
      </c>
      <c r="G181" t="s">
        <v>27</v>
      </c>
      <c r="H181" s="18">
        <v>7</v>
      </c>
      <c r="I181" s="9">
        <v>206.09</v>
      </c>
      <c r="J181" s="9">
        <v>1298.3699999999999</v>
      </c>
      <c r="K181" s="5" t="s">
        <v>576</v>
      </c>
      <c r="L181" t="s">
        <v>72</v>
      </c>
      <c r="M181" t="s">
        <v>30</v>
      </c>
      <c r="N181" t="s">
        <v>21</v>
      </c>
      <c r="O181">
        <v>206.09</v>
      </c>
      <c r="P181" s="5">
        <v>1298.3670000000002</v>
      </c>
      <c r="Q181" s="10">
        <v>0.1</v>
      </c>
      <c r="R181" s="19">
        <f>Table13[[#This Row],[Units]]*Table13[[#This Row],[UnitPrice]]*(1-Table13[[#This Row],[Discount Rate]])</f>
        <v>1298.3670000000002</v>
      </c>
      <c r="S181" t="s">
        <v>1058</v>
      </c>
      <c r="T181">
        <f>IF(Table13[[#This Row],[Returned]]="N",0,1)</f>
        <v>0</v>
      </c>
    </row>
    <row r="182" spans="1:20" x14ac:dyDescent="0.35">
      <c r="A182">
        <v>20180</v>
      </c>
      <c r="B182" s="11">
        <v>45360</v>
      </c>
      <c r="C182" t="s">
        <v>96</v>
      </c>
      <c r="D182" t="s">
        <v>49</v>
      </c>
      <c r="E182" t="s">
        <v>56</v>
      </c>
      <c r="F182" t="s">
        <v>17</v>
      </c>
      <c r="G182" t="s">
        <v>43</v>
      </c>
      <c r="H182" s="18">
        <v>12</v>
      </c>
      <c r="I182" s="9">
        <v>784.1</v>
      </c>
      <c r="J182" s="9">
        <v>9409.24</v>
      </c>
      <c r="K182" s="5" t="s">
        <v>579</v>
      </c>
      <c r="L182" t="s">
        <v>1056</v>
      </c>
      <c r="M182" t="s">
        <v>60</v>
      </c>
      <c r="N182" t="s">
        <v>21</v>
      </c>
      <c r="O182">
        <v>784.1</v>
      </c>
      <c r="P182" s="5">
        <v>9409.2000000000007</v>
      </c>
      <c r="Q182" s="10">
        <v>0</v>
      </c>
      <c r="R182" s="19">
        <f>Table13[[#This Row],[Units]]*Table13[[#This Row],[UnitPrice]]*(1-Table13[[#This Row],[Discount Rate]])</f>
        <v>9409.2000000000007</v>
      </c>
      <c r="S182" t="s">
        <v>1058</v>
      </c>
      <c r="T182">
        <f>IF(Table13[[#This Row],[Returned]]="N",0,1)</f>
        <v>0</v>
      </c>
    </row>
    <row r="183" spans="1:20" x14ac:dyDescent="0.35">
      <c r="A183">
        <v>20181</v>
      </c>
      <c r="B183" s="11">
        <v>45329</v>
      </c>
      <c r="C183" t="s">
        <v>96</v>
      </c>
      <c r="D183" t="s">
        <v>314</v>
      </c>
      <c r="E183" t="s">
        <v>107</v>
      </c>
      <c r="F183" t="s">
        <v>26</v>
      </c>
      <c r="G183" t="s">
        <v>76</v>
      </c>
      <c r="H183" s="18">
        <v>4</v>
      </c>
      <c r="I183" s="9">
        <v>267.89999999999998</v>
      </c>
      <c r="J183" s="9">
        <v>1071.6199999999999</v>
      </c>
      <c r="K183" s="5" t="s">
        <v>581</v>
      </c>
      <c r="L183" t="s">
        <v>1056</v>
      </c>
      <c r="M183" t="s">
        <v>60</v>
      </c>
      <c r="N183" t="s">
        <v>151</v>
      </c>
      <c r="O183">
        <v>267.89999999999998</v>
      </c>
      <c r="P183" s="5">
        <v>1071.5999999999999</v>
      </c>
      <c r="Q183" s="10">
        <v>0</v>
      </c>
      <c r="R183" s="19">
        <f>Table13[[#This Row],[Units]]*Table13[[#This Row],[UnitPrice]]*(1-Table13[[#This Row],[Discount Rate]])</f>
        <v>1071.5999999999999</v>
      </c>
      <c r="S183" t="s">
        <v>1058</v>
      </c>
      <c r="T183">
        <f>IF(Table13[[#This Row],[Returned]]="N",0,1)</f>
        <v>1</v>
      </c>
    </row>
    <row r="184" spans="1:20" x14ac:dyDescent="0.35">
      <c r="A184">
        <v>20182</v>
      </c>
      <c r="B184" s="11">
        <v>45341</v>
      </c>
      <c r="C184" t="s">
        <v>100</v>
      </c>
      <c r="D184" t="s">
        <v>141</v>
      </c>
      <c r="E184" t="s">
        <v>16</v>
      </c>
      <c r="F184" t="s">
        <v>17</v>
      </c>
      <c r="G184" t="s">
        <v>35</v>
      </c>
      <c r="H184" s="18">
        <v>19</v>
      </c>
      <c r="I184" s="9">
        <v>35</v>
      </c>
      <c r="J184" s="9">
        <v>639.05999999999995</v>
      </c>
      <c r="K184" s="5" t="s">
        <v>582</v>
      </c>
      <c r="L184" t="s">
        <v>1056</v>
      </c>
      <c r="M184" t="s">
        <v>60</v>
      </c>
      <c r="N184" t="s">
        <v>21</v>
      </c>
      <c r="O184">
        <v>35</v>
      </c>
      <c r="P184" s="5">
        <v>665</v>
      </c>
      <c r="Q184" s="10">
        <v>0</v>
      </c>
      <c r="R184" s="19">
        <f>Table13[[#This Row],[Units]]*Table13[[#This Row],[UnitPrice]]*(1-Table13[[#This Row],[Discount Rate]])</f>
        <v>665</v>
      </c>
      <c r="S184" t="s">
        <v>1058</v>
      </c>
      <c r="T184">
        <f>IF(Table13[[#This Row],[Returned]]="N",0,1)</f>
        <v>0</v>
      </c>
    </row>
    <row r="185" spans="1:20" x14ac:dyDescent="0.35">
      <c r="A185">
        <v>20183</v>
      </c>
      <c r="B185" s="11">
        <v>45382</v>
      </c>
      <c r="C185" t="s">
        <v>100</v>
      </c>
      <c r="D185" t="s">
        <v>141</v>
      </c>
      <c r="E185" t="s">
        <v>142</v>
      </c>
      <c r="F185" t="s">
        <v>17</v>
      </c>
      <c r="G185" t="s">
        <v>18</v>
      </c>
      <c r="H185" s="18">
        <v>20</v>
      </c>
      <c r="I185" s="9">
        <v>186.71</v>
      </c>
      <c r="J185" s="9">
        <v>2987.44</v>
      </c>
      <c r="K185" s="5" t="s">
        <v>585</v>
      </c>
      <c r="L185" t="s">
        <v>116</v>
      </c>
      <c r="M185" t="s">
        <v>30</v>
      </c>
      <c r="N185" t="s">
        <v>21</v>
      </c>
      <c r="O185">
        <v>186.71</v>
      </c>
      <c r="P185" s="5">
        <v>2987.3600000000006</v>
      </c>
      <c r="Q185" s="10">
        <v>0.2</v>
      </c>
      <c r="R185" s="19">
        <f>Table13[[#This Row],[Units]]*Table13[[#This Row],[UnitPrice]]*(1-Table13[[#This Row],[Discount Rate]])</f>
        <v>2987.3600000000006</v>
      </c>
      <c r="S185" t="s">
        <v>1058</v>
      </c>
      <c r="T185">
        <f>IF(Table13[[#This Row],[Returned]]="N",0,1)</f>
        <v>0</v>
      </c>
    </row>
    <row r="186" spans="1:20" x14ac:dyDescent="0.35">
      <c r="A186">
        <v>20184</v>
      </c>
      <c r="B186" s="11">
        <v>45370</v>
      </c>
      <c r="C186" t="s">
        <v>225</v>
      </c>
      <c r="D186" t="s">
        <v>113</v>
      </c>
      <c r="E186" t="s">
        <v>50</v>
      </c>
      <c r="F186" t="s">
        <v>17</v>
      </c>
      <c r="G186" t="s">
        <v>18</v>
      </c>
      <c r="H186" s="18">
        <v>7</v>
      </c>
      <c r="I186" s="9">
        <v>470.44</v>
      </c>
      <c r="J186" s="9">
        <v>3128.41</v>
      </c>
      <c r="K186" s="5" t="s">
        <v>588</v>
      </c>
      <c r="L186" t="s">
        <v>104</v>
      </c>
      <c r="M186" t="s">
        <v>60</v>
      </c>
      <c r="N186" t="s">
        <v>21</v>
      </c>
      <c r="O186">
        <v>470.44</v>
      </c>
      <c r="P186" s="5">
        <v>3128.4259999999999</v>
      </c>
      <c r="Q186" s="10">
        <v>0.05</v>
      </c>
      <c r="R186" s="19">
        <f>Table13[[#This Row],[Units]]*Table13[[#This Row],[UnitPrice]]*(1-Table13[[#This Row],[Discount Rate]])</f>
        <v>3128.4259999999999</v>
      </c>
      <c r="S186" t="s">
        <v>1058</v>
      </c>
      <c r="T186">
        <f>IF(Table13[[#This Row],[Returned]]="N",0,1)</f>
        <v>0</v>
      </c>
    </row>
    <row r="187" spans="1:20" x14ac:dyDescent="0.35">
      <c r="A187">
        <v>20185</v>
      </c>
      <c r="B187" s="11">
        <v>45314</v>
      </c>
      <c r="C187" t="s">
        <v>23</v>
      </c>
      <c r="D187" t="s">
        <v>177</v>
      </c>
      <c r="E187" t="s">
        <v>42</v>
      </c>
      <c r="F187" t="s">
        <v>17</v>
      </c>
      <c r="G187" t="s">
        <v>35</v>
      </c>
      <c r="H187" s="18">
        <v>15</v>
      </c>
      <c r="I187" s="9">
        <v>199.66</v>
      </c>
      <c r="J187" s="9">
        <v>2995</v>
      </c>
      <c r="K187" s="5" t="s">
        <v>591</v>
      </c>
      <c r="L187" t="s">
        <v>1056</v>
      </c>
      <c r="M187" t="s">
        <v>60</v>
      </c>
      <c r="N187" t="s">
        <v>151</v>
      </c>
      <c r="O187">
        <v>199.66</v>
      </c>
      <c r="P187" s="5">
        <v>2994.9</v>
      </c>
      <c r="Q187" s="10">
        <v>0</v>
      </c>
      <c r="R187" s="19">
        <f>Table13[[#This Row],[Units]]*Table13[[#This Row],[UnitPrice]]*(1-Table13[[#This Row],[Discount Rate]])</f>
        <v>2994.9</v>
      </c>
      <c r="S187" t="s">
        <v>1058</v>
      </c>
      <c r="T187">
        <f>IF(Table13[[#This Row],[Returned]]="N",0,1)</f>
        <v>1</v>
      </c>
    </row>
    <row r="188" spans="1:20" x14ac:dyDescent="0.35">
      <c r="A188">
        <v>20186</v>
      </c>
      <c r="B188" s="11">
        <v>45341</v>
      </c>
      <c r="C188" t="s">
        <v>23</v>
      </c>
      <c r="D188" t="s">
        <v>75</v>
      </c>
      <c r="E188" t="s">
        <v>101</v>
      </c>
      <c r="F188" t="s">
        <v>17</v>
      </c>
      <c r="G188" t="s">
        <v>43</v>
      </c>
      <c r="H188" s="18">
        <v>21</v>
      </c>
      <c r="I188" s="9">
        <v>142.63</v>
      </c>
      <c r="J188" s="9">
        <v>2995</v>
      </c>
      <c r="K188" s="5" t="s">
        <v>591</v>
      </c>
      <c r="L188" t="s">
        <v>1056</v>
      </c>
      <c r="M188" t="s">
        <v>60</v>
      </c>
      <c r="N188" t="s">
        <v>21</v>
      </c>
      <c r="O188">
        <v>142.63</v>
      </c>
      <c r="P188" s="5">
        <v>2995.23</v>
      </c>
      <c r="Q188" s="10">
        <v>0</v>
      </c>
      <c r="R188" s="19">
        <f>Table13[[#This Row],[Units]]*Table13[[#This Row],[UnitPrice]]*(1-Table13[[#This Row],[Discount Rate]])</f>
        <v>2995.23</v>
      </c>
      <c r="S188" t="s">
        <v>1058</v>
      </c>
      <c r="T188">
        <f>IF(Table13[[#This Row],[Returned]]="N",0,1)</f>
        <v>0</v>
      </c>
    </row>
    <row r="189" spans="1:20" x14ac:dyDescent="0.35">
      <c r="A189">
        <v>20187</v>
      </c>
      <c r="B189" s="11">
        <v>45317</v>
      </c>
      <c r="C189" t="s">
        <v>23</v>
      </c>
      <c r="D189" t="s">
        <v>177</v>
      </c>
      <c r="E189" t="s">
        <v>166</v>
      </c>
      <c r="F189" t="s">
        <v>17</v>
      </c>
      <c r="G189" t="s">
        <v>76</v>
      </c>
      <c r="H189" s="18">
        <v>17</v>
      </c>
      <c r="I189" s="9">
        <v>24.82</v>
      </c>
      <c r="J189" s="9">
        <v>379.71</v>
      </c>
      <c r="K189" s="5" t="s">
        <v>595</v>
      </c>
      <c r="L189" t="s">
        <v>72</v>
      </c>
      <c r="M189" t="s">
        <v>30</v>
      </c>
      <c r="N189" t="s">
        <v>21</v>
      </c>
      <c r="O189">
        <v>24.82</v>
      </c>
      <c r="P189" s="5">
        <v>379.74599999999998</v>
      </c>
      <c r="Q189" s="10">
        <v>0.1</v>
      </c>
      <c r="R189" s="19">
        <f>Table13[[#This Row],[Units]]*Table13[[#This Row],[UnitPrice]]*(1-Table13[[#This Row],[Discount Rate]])</f>
        <v>379.74599999999998</v>
      </c>
      <c r="S189" t="s">
        <v>1058</v>
      </c>
      <c r="T189">
        <f>IF(Table13[[#This Row],[Returned]]="N",0,1)</f>
        <v>0</v>
      </c>
    </row>
    <row r="190" spans="1:20" x14ac:dyDescent="0.35">
      <c r="A190">
        <v>20188</v>
      </c>
      <c r="B190" s="11">
        <v>45298</v>
      </c>
      <c r="C190" t="s">
        <v>23</v>
      </c>
      <c r="D190" t="s">
        <v>75</v>
      </c>
      <c r="E190" t="s">
        <v>50</v>
      </c>
      <c r="F190" t="s">
        <v>17</v>
      </c>
      <c r="G190" t="s">
        <v>27</v>
      </c>
      <c r="H190" s="18">
        <v>3</v>
      </c>
      <c r="I190" s="9">
        <v>439.57</v>
      </c>
      <c r="J190" s="9">
        <v>1253</v>
      </c>
      <c r="K190" s="5" t="s">
        <v>597</v>
      </c>
      <c r="L190" t="s">
        <v>104</v>
      </c>
      <c r="M190" t="s">
        <v>30</v>
      </c>
      <c r="N190" t="s">
        <v>21</v>
      </c>
      <c r="O190">
        <v>439.57</v>
      </c>
      <c r="P190" s="5">
        <v>1252.7745</v>
      </c>
      <c r="Q190" s="10">
        <v>0.05</v>
      </c>
      <c r="R190" s="19">
        <f>Table13[[#This Row],[Units]]*Table13[[#This Row],[UnitPrice]]*(1-Table13[[#This Row],[Discount Rate]])</f>
        <v>1252.7745</v>
      </c>
      <c r="S190" t="s">
        <v>1058</v>
      </c>
      <c r="T190">
        <f>IF(Table13[[#This Row],[Returned]]="N",0,1)</f>
        <v>0</v>
      </c>
    </row>
    <row r="191" spans="1:20" x14ac:dyDescent="0.35">
      <c r="A191">
        <v>20189</v>
      </c>
      <c r="B191" s="11">
        <v>45318</v>
      </c>
      <c r="C191" t="s">
        <v>23</v>
      </c>
      <c r="D191" t="s">
        <v>15</v>
      </c>
      <c r="E191" t="s">
        <v>56</v>
      </c>
      <c r="F191" t="s">
        <v>17</v>
      </c>
      <c r="G191" t="s">
        <v>27</v>
      </c>
      <c r="H191" s="18">
        <v>15</v>
      </c>
      <c r="I191" s="9">
        <v>849.77</v>
      </c>
      <c r="J191" s="9">
        <v>11471.88</v>
      </c>
      <c r="K191" s="5" t="s">
        <v>600</v>
      </c>
      <c r="L191" t="s">
        <v>72</v>
      </c>
      <c r="M191" t="s">
        <v>30</v>
      </c>
      <c r="N191" t="s">
        <v>21</v>
      </c>
      <c r="O191">
        <v>849.77</v>
      </c>
      <c r="P191" s="5">
        <v>11471.895</v>
      </c>
      <c r="Q191" s="10">
        <v>0.1</v>
      </c>
      <c r="R191" s="19">
        <f>Table13[[#This Row],[Units]]*Table13[[#This Row],[UnitPrice]]*(1-Table13[[#This Row],[Discount Rate]])</f>
        <v>11471.895</v>
      </c>
      <c r="S191" t="s">
        <v>1058</v>
      </c>
      <c r="T191">
        <f>IF(Table13[[#This Row],[Returned]]="N",0,1)</f>
        <v>0</v>
      </c>
    </row>
    <row r="192" spans="1:20" x14ac:dyDescent="0.35">
      <c r="A192">
        <v>20190</v>
      </c>
      <c r="B192" s="11">
        <v>45340</v>
      </c>
      <c r="C192" t="s">
        <v>23</v>
      </c>
      <c r="D192" t="s">
        <v>24</v>
      </c>
      <c r="E192" t="s">
        <v>25</v>
      </c>
      <c r="F192" t="s">
        <v>26</v>
      </c>
      <c r="G192" t="s">
        <v>76</v>
      </c>
      <c r="H192" s="18">
        <v>14</v>
      </c>
      <c r="I192" s="9">
        <v>111.87</v>
      </c>
      <c r="J192" s="9">
        <v>1566.21</v>
      </c>
      <c r="K192" s="5" t="s">
        <v>603</v>
      </c>
      <c r="L192" t="s">
        <v>1056</v>
      </c>
      <c r="M192" t="s">
        <v>30</v>
      </c>
      <c r="N192" t="s">
        <v>21</v>
      </c>
      <c r="O192">
        <v>111.87</v>
      </c>
      <c r="P192" s="5">
        <v>1566.18</v>
      </c>
      <c r="Q192" s="10">
        <v>0</v>
      </c>
      <c r="R192" s="19">
        <f>Table13[[#This Row],[Units]]*Table13[[#This Row],[UnitPrice]]*(1-Table13[[#This Row],[Discount Rate]])</f>
        <v>1566.18</v>
      </c>
      <c r="S192" t="s">
        <v>1058</v>
      </c>
      <c r="T192">
        <f>IF(Table13[[#This Row],[Returned]]="N",0,1)</f>
        <v>0</v>
      </c>
    </row>
    <row r="193" spans="1:20" x14ac:dyDescent="0.35">
      <c r="A193">
        <v>20191</v>
      </c>
      <c r="B193" s="11">
        <v>45337</v>
      </c>
      <c r="C193" t="s">
        <v>23</v>
      </c>
      <c r="D193" t="s">
        <v>24</v>
      </c>
      <c r="E193" t="s">
        <v>85</v>
      </c>
      <c r="F193" t="s">
        <v>17</v>
      </c>
      <c r="G193" t="s">
        <v>18</v>
      </c>
      <c r="H193" s="18">
        <v>7</v>
      </c>
      <c r="I193" s="9">
        <v>59.92</v>
      </c>
      <c r="J193" s="9">
        <v>419.45</v>
      </c>
      <c r="K193" s="5" t="s">
        <v>605</v>
      </c>
      <c r="L193" t="s">
        <v>1056</v>
      </c>
      <c r="M193" t="s">
        <v>30</v>
      </c>
      <c r="N193" t="s">
        <v>21</v>
      </c>
      <c r="O193">
        <v>59.92</v>
      </c>
      <c r="P193" s="5">
        <v>419.44</v>
      </c>
      <c r="Q193" s="10">
        <v>0</v>
      </c>
      <c r="R193" s="19">
        <f>Table13[[#This Row],[Units]]*Table13[[#This Row],[UnitPrice]]*(1-Table13[[#This Row],[Discount Rate]])</f>
        <v>419.44</v>
      </c>
      <c r="S193" t="s">
        <v>1058</v>
      </c>
      <c r="T193">
        <f>IF(Table13[[#This Row],[Returned]]="N",0,1)</f>
        <v>0</v>
      </c>
    </row>
    <row r="194" spans="1:20" x14ac:dyDescent="0.35">
      <c r="A194">
        <v>20192</v>
      </c>
      <c r="B194" s="11">
        <v>45292</v>
      </c>
      <c r="C194" t="s">
        <v>96</v>
      </c>
      <c r="D194" t="s">
        <v>49</v>
      </c>
      <c r="E194" t="s">
        <v>16</v>
      </c>
      <c r="F194" t="s">
        <v>395</v>
      </c>
      <c r="G194" t="s">
        <v>18</v>
      </c>
      <c r="H194" s="18">
        <v>4</v>
      </c>
      <c r="I194" s="9">
        <v>32.950000000000003</v>
      </c>
      <c r="J194" s="9">
        <v>105.44</v>
      </c>
      <c r="K194" s="5" t="s">
        <v>608</v>
      </c>
      <c r="L194" t="s">
        <v>116</v>
      </c>
      <c r="M194" t="s">
        <v>30</v>
      </c>
      <c r="N194" t="s">
        <v>21</v>
      </c>
      <c r="O194">
        <v>32.950000000000003</v>
      </c>
      <c r="P194" s="5">
        <v>105.44000000000001</v>
      </c>
      <c r="Q194" s="10">
        <v>0.2</v>
      </c>
      <c r="R194" s="19">
        <f>Table13[[#This Row],[Units]]*Table13[[#This Row],[UnitPrice]]*(1-Table13[[#This Row],[Discount Rate]])</f>
        <v>105.44000000000001</v>
      </c>
      <c r="S194" t="s">
        <v>1058</v>
      </c>
      <c r="T194">
        <f>IF(Table13[[#This Row],[Returned]]="N",0,1)</f>
        <v>0</v>
      </c>
    </row>
    <row r="195" spans="1:20" x14ac:dyDescent="0.35">
      <c r="A195">
        <v>20193</v>
      </c>
      <c r="B195" s="11">
        <v>45364</v>
      </c>
      <c r="C195" t="s">
        <v>23</v>
      </c>
      <c r="D195" t="s">
        <v>15</v>
      </c>
      <c r="E195" t="s">
        <v>25</v>
      </c>
      <c r="F195" t="s">
        <v>26</v>
      </c>
      <c r="G195" t="s">
        <v>35</v>
      </c>
      <c r="H195" s="18">
        <v>16</v>
      </c>
      <c r="I195" s="9">
        <v>127.13</v>
      </c>
      <c r="J195" s="9">
        <v>2034.15</v>
      </c>
      <c r="K195" s="5" t="s">
        <v>611</v>
      </c>
      <c r="L195" t="s">
        <v>1056</v>
      </c>
      <c r="M195" t="s">
        <v>30</v>
      </c>
      <c r="N195" t="s">
        <v>21</v>
      </c>
      <c r="O195">
        <v>127.13</v>
      </c>
      <c r="P195" s="5">
        <v>2034.08</v>
      </c>
      <c r="Q195" s="10">
        <v>0</v>
      </c>
      <c r="R195" s="19">
        <f>Table13[[#This Row],[Units]]*Table13[[#This Row],[UnitPrice]]*(1-Table13[[#This Row],[Discount Rate]])</f>
        <v>2034.08</v>
      </c>
      <c r="S195" t="s">
        <v>1063</v>
      </c>
      <c r="T195">
        <f>IF(Table13[[#This Row],[Returned]]="N",0,1)</f>
        <v>0</v>
      </c>
    </row>
    <row r="196" spans="1:20" x14ac:dyDescent="0.35">
      <c r="A196">
        <v>20194</v>
      </c>
      <c r="B196" s="11">
        <v>45339</v>
      </c>
      <c r="C196" t="s">
        <v>84</v>
      </c>
      <c r="D196" t="s">
        <v>55</v>
      </c>
      <c r="E196" t="s">
        <v>42</v>
      </c>
      <c r="F196" t="s">
        <v>17</v>
      </c>
      <c r="G196" t="s">
        <v>18</v>
      </c>
      <c r="H196" s="18">
        <v>13</v>
      </c>
      <c r="I196" s="9">
        <v>213.7</v>
      </c>
      <c r="J196" s="9">
        <v>2778</v>
      </c>
      <c r="K196" s="5" t="s">
        <v>614</v>
      </c>
      <c r="L196" t="s">
        <v>1056</v>
      </c>
      <c r="M196" t="s">
        <v>30</v>
      </c>
      <c r="N196" t="s">
        <v>21</v>
      </c>
      <c r="O196">
        <v>213.7</v>
      </c>
      <c r="P196" s="5">
        <v>2778.1</v>
      </c>
      <c r="Q196" s="10">
        <v>0</v>
      </c>
      <c r="R196" s="19">
        <f>Table13[[#This Row],[Units]]*Table13[[#This Row],[UnitPrice]]*(1-Table13[[#This Row],[Discount Rate]])</f>
        <v>2778.1</v>
      </c>
      <c r="S196" t="s">
        <v>1058</v>
      </c>
      <c r="T196">
        <f>IF(Table13[[#This Row],[Returned]]="N",0,1)</f>
        <v>0</v>
      </c>
    </row>
    <row r="197" spans="1:20" x14ac:dyDescent="0.35">
      <c r="A197">
        <v>20195</v>
      </c>
      <c r="B197" s="11">
        <v>45358</v>
      </c>
      <c r="C197" t="s">
        <v>100</v>
      </c>
      <c r="D197" t="s">
        <v>141</v>
      </c>
      <c r="E197" t="s">
        <v>50</v>
      </c>
      <c r="F197" t="s">
        <v>17</v>
      </c>
      <c r="G197" t="s">
        <v>27</v>
      </c>
      <c r="H197" s="18">
        <v>16</v>
      </c>
      <c r="I197" s="9">
        <v>418.87</v>
      </c>
      <c r="J197" s="9">
        <v>5361.5</v>
      </c>
      <c r="K197" s="5" t="s">
        <v>617</v>
      </c>
      <c r="L197" t="s">
        <v>116</v>
      </c>
      <c r="M197" t="s">
        <v>30</v>
      </c>
      <c r="N197" t="s">
        <v>21</v>
      </c>
      <c r="O197">
        <v>418.87</v>
      </c>
      <c r="P197" s="5">
        <v>5361.5360000000001</v>
      </c>
      <c r="Q197" s="10">
        <v>0.2</v>
      </c>
      <c r="R197" s="19">
        <f>Table13[[#This Row],[Units]]*Table13[[#This Row],[UnitPrice]]*(1-Table13[[#This Row],[Discount Rate]])</f>
        <v>5361.5360000000001</v>
      </c>
      <c r="S197" t="s">
        <v>1058</v>
      </c>
      <c r="T197">
        <f>IF(Table13[[#This Row],[Returned]]="N",0,1)</f>
        <v>0</v>
      </c>
    </row>
    <row r="198" spans="1:20" x14ac:dyDescent="0.35">
      <c r="A198">
        <v>20196</v>
      </c>
      <c r="B198" s="11">
        <v>45357</v>
      </c>
      <c r="C198" t="s">
        <v>23</v>
      </c>
      <c r="D198" t="s">
        <v>75</v>
      </c>
      <c r="E198" t="s">
        <v>50</v>
      </c>
      <c r="F198" t="s">
        <v>17</v>
      </c>
      <c r="G198" t="s">
        <v>18</v>
      </c>
      <c r="H198" s="18">
        <v>12</v>
      </c>
      <c r="I198" s="9">
        <v>462.5</v>
      </c>
      <c r="J198" s="9">
        <v>5549.96</v>
      </c>
      <c r="K198" s="5" t="s">
        <v>620</v>
      </c>
      <c r="L198" t="s">
        <v>1056</v>
      </c>
      <c r="M198" t="s">
        <v>60</v>
      </c>
      <c r="N198" t="s">
        <v>21</v>
      </c>
      <c r="O198">
        <v>462.5</v>
      </c>
      <c r="P198" s="5">
        <v>5550</v>
      </c>
      <c r="Q198" s="10">
        <v>0</v>
      </c>
      <c r="R198" s="19">
        <f>Table13[[#This Row],[Units]]*Table13[[#This Row],[UnitPrice]]*(1-Table13[[#This Row],[Discount Rate]])</f>
        <v>5550</v>
      </c>
      <c r="S198" t="s">
        <v>1058</v>
      </c>
      <c r="T198">
        <f>IF(Table13[[#This Row],[Returned]]="N",0,1)</f>
        <v>0</v>
      </c>
    </row>
    <row r="199" spans="1:20" x14ac:dyDescent="0.35">
      <c r="A199">
        <v>20197</v>
      </c>
      <c r="B199" s="11">
        <v>45317</v>
      </c>
      <c r="C199" t="s">
        <v>652</v>
      </c>
      <c r="D199" t="s">
        <v>121</v>
      </c>
      <c r="E199" t="s">
        <v>42</v>
      </c>
      <c r="F199" t="s">
        <v>17</v>
      </c>
      <c r="G199" t="s">
        <v>27</v>
      </c>
      <c r="H199" s="18">
        <v>11</v>
      </c>
      <c r="I199" s="9">
        <v>182.03</v>
      </c>
      <c r="J199" s="9">
        <v>1902.2</v>
      </c>
      <c r="K199" s="5" t="s">
        <v>623</v>
      </c>
      <c r="L199" t="s">
        <v>104</v>
      </c>
      <c r="M199" t="s">
        <v>30</v>
      </c>
      <c r="N199" t="s">
        <v>21</v>
      </c>
      <c r="O199">
        <v>182.03</v>
      </c>
      <c r="P199" s="5">
        <v>1902.2134999999998</v>
      </c>
      <c r="Q199" s="10">
        <v>0.05</v>
      </c>
      <c r="R199" s="19">
        <f>Table13[[#This Row],[Units]]*Table13[[#This Row],[UnitPrice]]*(1-Table13[[#This Row],[Discount Rate]])</f>
        <v>1902.2134999999998</v>
      </c>
      <c r="S199" t="s">
        <v>1058</v>
      </c>
      <c r="T199">
        <f>IF(Table13[[#This Row],[Returned]]="N",0,1)</f>
        <v>0</v>
      </c>
    </row>
    <row r="200" spans="1:20" x14ac:dyDescent="0.35">
      <c r="A200">
        <v>20198</v>
      </c>
      <c r="B200" s="11">
        <v>45313</v>
      </c>
      <c r="C200" t="s">
        <v>96</v>
      </c>
      <c r="D200" t="s">
        <v>314</v>
      </c>
      <c r="E200" t="s">
        <v>69</v>
      </c>
      <c r="F200" t="s">
        <v>26</v>
      </c>
      <c r="G200" t="s">
        <v>35</v>
      </c>
      <c r="H200" s="18">
        <v>15</v>
      </c>
      <c r="I200" s="9">
        <v>38.130000000000003</v>
      </c>
      <c r="J200" s="9">
        <v>457.59</v>
      </c>
      <c r="K200" s="5" t="s">
        <v>626</v>
      </c>
      <c r="L200" t="s">
        <v>116</v>
      </c>
      <c r="M200" t="s">
        <v>30</v>
      </c>
      <c r="N200" t="s">
        <v>21</v>
      </c>
      <c r="O200">
        <v>38.130000000000003</v>
      </c>
      <c r="P200" s="5">
        <v>457.56000000000006</v>
      </c>
      <c r="Q200" s="10">
        <v>0.2</v>
      </c>
      <c r="R200" s="19">
        <f>Table13[[#This Row],[Units]]*Table13[[#This Row],[UnitPrice]]*(1-Table13[[#This Row],[Discount Rate]])</f>
        <v>457.56000000000006</v>
      </c>
      <c r="S200" t="s">
        <v>1058</v>
      </c>
      <c r="T200">
        <f>IF(Table13[[#This Row],[Returned]]="N",0,1)</f>
        <v>0</v>
      </c>
    </row>
    <row r="201" spans="1:20" x14ac:dyDescent="0.35">
      <c r="A201">
        <v>20199</v>
      </c>
      <c r="B201" s="11">
        <v>45361</v>
      </c>
      <c r="C201" t="s">
        <v>96</v>
      </c>
      <c r="D201" t="s">
        <v>49</v>
      </c>
      <c r="E201" t="s">
        <v>85</v>
      </c>
      <c r="F201" t="s">
        <v>17</v>
      </c>
      <c r="G201" t="s">
        <v>57</v>
      </c>
      <c r="H201" s="18">
        <v>18</v>
      </c>
      <c r="I201" s="9">
        <v>66.180000000000007</v>
      </c>
      <c r="J201" s="9">
        <v>1191.19</v>
      </c>
      <c r="K201" s="5" t="s">
        <v>629</v>
      </c>
      <c r="L201" t="s">
        <v>1056</v>
      </c>
      <c r="M201" t="s">
        <v>30</v>
      </c>
      <c r="N201" t="s">
        <v>21</v>
      </c>
      <c r="O201">
        <v>66.180000000000007</v>
      </c>
      <c r="P201" s="5">
        <v>1191.2400000000002</v>
      </c>
      <c r="Q201" s="10">
        <v>0</v>
      </c>
      <c r="R201" s="19">
        <f>Table13[[#This Row],[Units]]*Table13[[#This Row],[UnitPrice]]*(1-Table13[[#This Row],[Discount Rate]])</f>
        <v>1191.2400000000002</v>
      </c>
      <c r="S201" t="s">
        <v>1058</v>
      </c>
      <c r="T201">
        <f>IF(Table13[[#This Row],[Returned]]="N",0,1)</f>
        <v>0</v>
      </c>
    </row>
    <row r="202" spans="1:20" x14ac:dyDescent="0.35">
      <c r="A202">
        <v>20200</v>
      </c>
      <c r="B202" s="11">
        <v>45311</v>
      </c>
      <c r="C202" t="s">
        <v>96</v>
      </c>
      <c r="D202" t="s">
        <v>49</v>
      </c>
      <c r="E202" t="s">
        <v>25</v>
      </c>
      <c r="F202" t="s">
        <v>26</v>
      </c>
      <c r="G202" t="s">
        <v>57</v>
      </c>
      <c r="H202" s="18">
        <v>15</v>
      </c>
      <c r="I202" s="9">
        <v>109.67</v>
      </c>
      <c r="J202" s="9">
        <v>1563</v>
      </c>
      <c r="K202" s="5" t="s">
        <v>632</v>
      </c>
      <c r="L202" t="s">
        <v>104</v>
      </c>
      <c r="M202" t="s">
        <v>60</v>
      </c>
      <c r="N202" t="s">
        <v>151</v>
      </c>
      <c r="O202">
        <v>109.67</v>
      </c>
      <c r="P202" s="5">
        <v>1562.7974999999999</v>
      </c>
      <c r="Q202" s="10">
        <v>0.05</v>
      </c>
      <c r="R202" s="19">
        <f>Table13[[#This Row],[Units]]*Table13[[#This Row],[UnitPrice]]*(1-Table13[[#This Row],[Discount Rate]])</f>
        <v>1562.7974999999999</v>
      </c>
      <c r="S202" t="s">
        <v>1058</v>
      </c>
      <c r="T202">
        <f>IF(Table13[[#This Row],[Returned]]="N",0,1)</f>
        <v>1</v>
      </c>
    </row>
    <row r="203" spans="1:20" x14ac:dyDescent="0.35">
      <c r="A203">
        <v>20201</v>
      </c>
      <c r="B203" s="11">
        <v>45337</v>
      </c>
      <c r="C203" t="s">
        <v>652</v>
      </c>
      <c r="D203" t="s">
        <v>41</v>
      </c>
      <c r="E203" t="s">
        <v>101</v>
      </c>
      <c r="F203" t="s">
        <v>17</v>
      </c>
      <c r="G203" t="s">
        <v>35</v>
      </c>
      <c r="H203" s="18">
        <v>14</v>
      </c>
      <c r="I203" s="9">
        <v>152</v>
      </c>
      <c r="J203" s="9">
        <v>2122.73</v>
      </c>
      <c r="K203" s="5" t="s">
        <v>635</v>
      </c>
      <c r="L203" t="s">
        <v>1056</v>
      </c>
      <c r="M203" t="s">
        <v>30</v>
      </c>
      <c r="N203" t="s">
        <v>21</v>
      </c>
      <c r="O203">
        <v>152</v>
      </c>
      <c r="P203" s="5">
        <v>2128</v>
      </c>
      <c r="Q203" s="10">
        <v>0</v>
      </c>
      <c r="R203" s="19">
        <f>Table13[[#This Row],[Units]]*Table13[[#This Row],[UnitPrice]]*(1-Table13[[#This Row],[Discount Rate]])</f>
        <v>2128</v>
      </c>
      <c r="S203" t="s">
        <v>1058</v>
      </c>
      <c r="T203">
        <f>IF(Table13[[#This Row],[Returned]]="N",0,1)</f>
        <v>0</v>
      </c>
    </row>
    <row r="204" spans="1:20" x14ac:dyDescent="0.35">
      <c r="A204">
        <v>20202</v>
      </c>
      <c r="B204" s="11">
        <v>45354</v>
      </c>
      <c r="C204" t="s">
        <v>100</v>
      </c>
      <c r="D204" t="s">
        <v>33</v>
      </c>
      <c r="E204" t="s">
        <v>107</v>
      </c>
      <c r="F204" t="s">
        <v>26</v>
      </c>
      <c r="G204" t="s">
        <v>18</v>
      </c>
      <c r="H204" s="18">
        <v>7</v>
      </c>
      <c r="I204" s="9">
        <v>278.58999999999997</v>
      </c>
      <c r="J204" s="9" t="e">
        <v>#VALUE!</v>
      </c>
      <c r="K204" s="5"/>
      <c r="L204" t="s">
        <v>1056</v>
      </c>
      <c r="M204" t="s">
        <v>30</v>
      </c>
      <c r="N204" t="s">
        <v>21</v>
      </c>
      <c r="O204">
        <v>278.58999999999997</v>
      </c>
      <c r="P204" s="5">
        <v>1950.1299999999999</v>
      </c>
      <c r="Q204" s="10">
        <v>0</v>
      </c>
      <c r="R204" s="19">
        <f>Table13[[#This Row],[Units]]*Table13[[#This Row],[UnitPrice]]*(1-Table13[[#This Row],[Discount Rate]])</f>
        <v>1950.1299999999999</v>
      </c>
      <c r="S204" t="s">
        <v>1058</v>
      </c>
      <c r="T204">
        <f>IF(Table13[[#This Row],[Returned]]="N",0,1)</f>
        <v>0</v>
      </c>
    </row>
    <row r="205" spans="1:20" x14ac:dyDescent="0.35">
      <c r="A205">
        <v>20203</v>
      </c>
      <c r="B205" s="11">
        <v>45380</v>
      </c>
      <c r="C205" t="s">
        <v>84</v>
      </c>
      <c r="D205" t="s">
        <v>55</v>
      </c>
      <c r="E205" t="s">
        <v>69</v>
      </c>
      <c r="F205" t="s">
        <v>26</v>
      </c>
      <c r="G205" t="s">
        <v>35</v>
      </c>
      <c r="H205" s="18">
        <v>15</v>
      </c>
      <c r="I205" s="9">
        <v>32.799999999999997</v>
      </c>
      <c r="J205" s="9">
        <v>442.81</v>
      </c>
      <c r="K205" s="5" t="s">
        <v>639</v>
      </c>
      <c r="L205" t="s">
        <v>72</v>
      </c>
      <c r="M205" t="s">
        <v>60</v>
      </c>
      <c r="N205" t="s">
        <v>21</v>
      </c>
      <c r="O205">
        <v>32.799999999999997</v>
      </c>
      <c r="P205" s="5">
        <v>442.79999999999995</v>
      </c>
      <c r="Q205" s="10">
        <v>0.1</v>
      </c>
      <c r="R205" s="19">
        <f>Table13[[#This Row],[Units]]*Table13[[#This Row],[UnitPrice]]*(1-Table13[[#This Row],[Discount Rate]])</f>
        <v>442.79999999999995</v>
      </c>
      <c r="S205" t="s">
        <v>1058</v>
      </c>
      <c r="T205">
        <f>IF(Table13[[#This Row],[Returned]]="N",0,1)</f>
        <v>0</v>
      </c>
    </row>
    <row r="206" spans="1:20" x14ac:dyDescent="0.35">
      <c r="A206">
        <v>20204</v>
      </c>
      <c r="B206" s="11">
        <v>45365</v>
      </c>
      <c r="C206" t="s">
        <v>96</v>
      </c>
      <c r="D206" t="s">
        <v>314</v>
      </c>
      <c r="E206" t="s">
        <v>85</v>
      </c>
      <c r="F206" t="s">
        <v>17</v>
      </c>
      <c r="G206" t="s">
        <v>35</v>
      </c>
      <c r="H206" s="18">
        <v>16</v>
      </c>
      <c r="I206" s="9">
        <v>67.13</v>
      </c>
      <c r="J206" s="9" t="e">
        <v>#VALUE!</v>
      </c>
      <c r="K206" s="5"/>
      <c r="L206" t="s">
        <v>1056</v>
      </c>
      <c r="M206" t="s">
        <v>30</v>
      </c>
      <c r="N206" t="s">
        <v>21</v>
      </c>
      <c r="O206">
        <v>67.13</v>
      </c>
      <c r="P206" s="5">
        <v>1074.08</v>
      </c>
      <c r="Q206" s="10">
        <v>0</v>
      </c>
      <c r="R206" s="19">
        <f>Table13[[#This Row],[Units]]*Table13[[#This Row],[UnitPrice]]*(1-Table13[[#This Row],[Discount Rate]])</f>
        <v>1074.08</v>
      </c>
      <c r="S206" t="s">
        <v>1058</v>
      </c>
      <c r="T206">
        <f>IF(Table13[[#This Row],[Returned]]="N",0,1)</f>
        <v>0</v>
      </c>
    </row>
    <row r="207" spans="1:20" x14ac:dyDescent="0.35">
      <c r="A207">
        <v>20205</v>
      </c>
      <c r="B207" s="11">
        <v>45369</v>
      </c>
      <c r="C207" t="s">
        <v>23</v>
      </c>
      <c r="D207" t="s">
        <v>24</v>
      </c>
      <c r="E207" t="s">
        <v>142</v>
      </c>
      <c r="F207" t="s">
        <v>17</v>
      </c>
      <c r="G207" t="s">
        <v>35</v>
      </c>
      <c r="H207" s="18">
        <v>16</v>
      </c>
      <c r="I207" s="9">
        <v>182.62</v>
      </c>
      <c r="J207" s="9">
        <v>2629.77</v>
      </c>
      <c r="K207" s="5" t="s">
        <v>642</v>
      </c>
      <c r="L207" t="s">
        <v>72</v>
      </c>
      <c r="M207" t="s">
        <v>30</v>
      </c>
      <c r="N207" t="s">
        <v>21</v>
      </c>
      <c r="O207">
        <v>182.62</v>
      </c>
      <c r="P207" s="5">
        <v>2629.7280000000001</v>
      </c>
      <c r="Q207" s="10">
        <v>0.1</v>
      </c>
      <c r="R207" s="19">
        <f>Table13[[#This Row],[Units]]*Table13[[#This Row],[UnitPrice]]*(1-Table13[[#This Row],[Discount Rate]])</f>
        <v>2629.7280000000001</v>
      </c>
      <c r="S207" t="s">
        <v>1058</v>
      </c>
      <c r="T207">
        <f>IF(Table13[[#This Row],[Returned]]="N",0,1)</f>
        <v>0</v>
      </c>
    </row>
    <row r="208" spans="1:20" x14ac:dyDescent="0.35">
      <c r="A208">
        <v>20206</v>
      </c>
      <c r="B208" s="11">
        <v>45336</v>
      </c>
      <c r="C208" t="s">
        <v>23</v>
      </c>
      <c r="D208" t="s">
        <v>177</v>
      </c>
      <c r="E208" t="s">
        <v>42</v>
      </c>
      <c r="F208" t="s">
        <v>17</v>
      </c>
      <c r="G208" t="s">
        <v>76</v>
      </c>
      <c r="H208" s="18">
        <v>11</v>
      </c>
      <c r="I208" s="9">
        <v>218.69</v>
      </c>
      <c r="J208" s="9">
        <v>2405.63</v>
      </c>
      <c r="K208" s="5" t="s">
        <v>645</v>
      </c>
      <c r="L208" t="s">
        <v>1056</v>
      </c>
      <c r="M208" t="s">
        <v>30</v>
      </c>
      <c r="N208" t="s">
        <v>21</v>
      </c>
      <c r="O208">
        <v>218.69</v>
      </c>
      <c r="P208" s="5">
        <v>2405.59</v>
      </c>
      <c r="Q208" s="10">
        <v>0</v>
      </c>
      <c r="R208" s="19">
        <f>Table13[[#This Row],[Units]]*Table13[[#This Row],[UnitPrice]]*(1-Table13[[#This Row],[Discount Rate]])</f>
        <v>2405.59</v>
      </c>
      <c r="S208" t="s">
        <v>1058</v>
      </c>
      <c r="T208">
        <f>IF(Table13[[#This Row],[Returned]]="N",0,1)</f>
        <v>0</v>
      </c>
    </row>
    <row r="209" spans="1:20" x14ac:dyDescent="0.35">
      <c r="A209">
        <v>20207</v>
      </c>
      <c r="B209" s="11">
        <v>45347</v>
      </c>
      <c r="C209" t="s">
        <v>100</v>
      </c>
      <c r="D209" t="s">
        <v>68</v>
      </c>
      <c r="E209" t="s">
        <v>142</v>
      </c>
      <c r="F209" t="s">
        <v>17</v>
      </c>
      <c r="G209" t="s">
        <v>27</v>
      </c>
      <c r="H209" s="18">
        <v>25</v>
      </c>
      <c r="I209" s="9">
        <v>176.04</v>
      </c>
      <c r="J209" s="9">
        <v>3520.85</v>
      </c>
      <c r="K209" s="5" t="s">
        <v>648</v>
      </c>
      <c r="L209" t="s">
        <v>116</v>
      </c>
      <c r="M209" t="s">
        <v>60</v>
      </c>
      <c r="N209" t="s">
        <v>21</v>
      </c>
      <c r="O209">
        <v>176.04</v>
      </c>
      <c r="P209" s="5">
        <v>3520.8</v>
      </c>
      <c r="Q209" s="10">
        <v>0.2</v>
      </c>
      <c r="R209" s="19">
        <f>Table13[[#This Row],[Units]]*Table13[[#This Row],[UnitPrice]]*(1-Table13[[#This Row],[Discount Rate]])</f>
        <v>3520.8</v>
      </c>
      <c r="S209" t="s">
        <v>1058</v>
      </c>
      <c r="T209">
        <f>IF(Table13[[#This Row],[Returned]]="N",0,1)</f>
        <v>0</v>
      </c>
    </row>
    <row r="210" spans="1:20" x14ac:dyDescent="0.35">
      <c r="A210">
        <v>20208</v>
      </c>
      <c r="B210" s="11">
        <v>45303</v>
      </c>
      <c r="C210" t="s">
        <v>100</v>
      </c>
      <c r="D210" t="s">
        <v>33</v>
      </c>
      <c r="E210" t="s">
        <v>34</v>
      </c>
      <c r="F210" t="s">
        <v>26</v>
      </c>
      <c r="G210" t="s">
        <v>18</v>
      </c>
      <c r="H210" s="18">
        <v>11</v>
      </c>
      <c r="I210" s="9">
        <v>420</v>
      </c>
      <c r="J210" s="9">
        <v>4568.16</v>
      </c>
      <c r="K210" s="5" t="s">
        <v>650</v>
      </c>
      <c r="L210" t="s">
        <v>72</v>
      </c>
      <c r="M210" t="s">
        <v>30</v>
      </c>
      <c r="N210" t="s">
        <v>21</v>
      </c>
      <c r="O210">
        <v>420</v>
      </c>
      <c r="P210" s="5">
        <v>4158</v>
      </c>
      <c r="Q210" s="10">
        <v>0.1</v>
      </c>
      <c r="R210" s="19">
        <f>Table13[[#This Row],[Units]]*Table13[[#This Row],[UnitPrice]]*(1-Table13[[#This Row],[Discount Rate]])</f>
        <v>4158</v>
      </c>
      <c r="S210" t="s">
        <v>1058</v>
      </c>
      <c r="T210">
        <f>IF(Table13[[#This Row],[Returned]]="N",0,1)</f>
        <v>0</v>
      </c>
    </row>
    <row r="211" spans="1:20" x14ac:dyDescent="0.35">
      <c r="A211">
        <v>20209</v>
      </c>
      <c r="B211" s="11">
        <v>45333</v>
      </c>
      <c r="C211" t="s">
        <v>652</v>
      </c>
      <c r="D211" t="s">
        <v>121</v>
      </c>
      <c r="E211" t="s">
        <v>101</v>
      </c>
      <c r="F211" t="s">
        <v>17</v>
      </c>
      <c r="G211" t="s">
        <v>76</v>
      </c>
      <c r="H211" s="18">
        <v>19</v>
      </c>
      <c r="I211" s="9">
        <v>131.16999999999999</v>
      </c>
      <c r="J211" s="9">
        <v>2492</v>
      </c>
      <c r="K211" s="5" t="s">
        <v>654</v>
      </c>
      <c r="L211" t="s">
        <v>1056</v>
      </c>
      <c r="M211" t="s">
        <v>30</v>
      </c>
      <c r="N211" t="s">
        <v>21</v>
      </c>
      <c r="O211">
        <v>131.16999999999999</v>
      </c>
      <c r="P211" s="5">
        <v>2492.2299999999996</v>
      </c>
      <c r="Q211" s="10">
        <v>0</v>
      </c>
      <c r="R211" s="19">
        <f>Table13[[#This Row],[Units]]*Table13[[#This Row],[UnitPrice]]*(1-Table13[[#This Row],[Discount Rate]])</f>
        <v>2492.2299999999996</v>
      </c>
      <c r="S211" t="s">
        <v>1058</v>
      </c>
      <c r="T211">
        <f>IF(Table13[[#This Row],[Returned]]="N",0,1)</f>
        <v>0</v>
      </c>
    </row>
    <row r="212" spans="1:20" x14ac:dyDescent="0.35">
      <c r="A212">
        <v>20210</v>
      </c>
      <c r="B212" s="11">
        <v>45355</v>
      </c>
      <c r="C212" t="s">
        <v>100</v>
      </c>
      <c r="D212" t="s">
        <v>68</v>
      </c>
      <c r="E212" t="s">
        <v>166</v>
      </c>
      <c r="F212" t="s">
        <v>17</v>
      </c>
      <c r="G212" t="s">
        <v>43</v>
      </c>
      <c r="H212" s="18">
        <v>7</v>
      </c>
      <c r="I212" s="9">
        <v>23.39</v>
      </c>
      <c r="J212" s="9">
        <v>147.37</v>
      </c>
      <c r="K212" s="5" t="s">
        <v>656</v>
      </c>
      <c r="L212" t="s">
        <v>72</v>
      </c>
      <c r="M212" t="s">
        <v>30</v>
      </c>
      <c r="N212" t="s">
        <v>21</v>
      </c>
      <c r="O212">
        <v>23.39</v>
      </c>
      <c r="P212" s="5">
        <v>147.35700000000003</v>
      </c>
      <c r="Q212" s="10">
        <v>0.1</v>
      </c>
      <c r="R212" s="19">
        <f>Table13[[#This Row],[Units]]*Table13[[#This Row],[UnitPrice]]*(1-Table13[[#This Row],[Discount Rate]])</f>
        <v>147.35700000000003</v>
      </c>
      <c r="S212" t="s">
        <v>1063</v>
      </c>
      <c r="T212">
        <f>IF(Table13[[#This Row],[Returned]]="N",0,1)</f>
        <v>0</v>
      </c>
    </row>
    <row r="213" spans="1:20" x14ac:dyDescent="0.35">
      <c r="A213">
        <v>20211</v>
      </c>
      <c r="B213" s="11">
        <v>45372</v>
      </c>
      <c r="C213" t="s">
        <v>23</v>
      </c>
      <c r="D213" t="s">
        <v>177</v>
      </c>
      <c r="E213" t="s">
        <v>101</v>
      </c>
      <c r="F213" t="s">
        <v>395</v>
      </c>
      <c r="G213" t="s">
        <v>43</v>
      </c>
      <c r="H213" s="18">
        <v>16</v>
      </c>
      <c r="I213" s="9">
        <v>137.31</v>
      </c>
      <c r="J213" s="9">
        <v>1977.26</v>
      </c>
      <c r="K213" s="5" t="s">
        <v>658</v>
      </c>
      <c r="L213" t="s">
        <v>72</v>
      </c>
      <c r="M213" t="s">
        <v>30</v>
      </c>
      <c r="N213" t="s">
        <v>21</v>
      </c>
      <c r="O213">
        <v>137.31</v>
      </c>
      <c r="P213" s="5">
        <v>1977.2640000000001</v>
      </c>
      <c r="Q213" s="10">
        <v>0.1</v>
      </c>
      <c r="R213" s="19">
        <f>Table13[[#This Row],[Units]]*Table13[[#This Row],[UnitPrice]]*(1-Table13[[#This Row],[Discount Rate]])</f>
        <v>1977.2640000000001</v>
      </c>
      <c r="S213" t="s">
        <v>1058</v>
      </c>
      <c r="T213">
        <f>IF(Table13[[#This Row],[Returned]]="N",0,1)</f>
        <v>0</v>
      </c>
    </row>
    <row r="214" spans="1:20" x14ac:dyDescent="0.35">
      <c r="A214">
        <v>20212</v>
      </c>
      <c r="B214" s="11">
        <v>45361</v>
      </c>
      <c r="C214" t="s">
        <v>96</v>
      </c>
      <c r="D214" t="s">
        <v>314</v>
      </c>
      <c r="E214" t="s">
        <v>42</v>
      </c>
      <c r="F214" t="s">
        <v>17</v>
      </c>
      <c r="G214" t="s">
        <v>57</v>
      </c>
      <c r="H214" s="18">
        <v>15</v>
      </c>
      <c r="I214" s="9">
        <v>215.86</v>
      </c>
      <c r="J214" s="9">
        <v>3237.88</v>
      </c>
      <c r="K214" s="5" t="s">
        <v>661</v>
      </c>
      <c r="L214" t="s">
        <v>1056</v>
      </c>
      <c r="M214" t="s">
        <v>60</v>
      </c>
      <c r="N214" t="s">
        <v>21</v>
      </c>
      <c r="O214">
        <v>215.86</v>
      </c>
      <c r="P214" s="5">
        <v>3237.9</v>
      </c>
      <c r="Q214" s="10">
        <v>0</v>
      </c>
      <c r="R214" s="19">
        <f>Table13[[#This Row],[Units]]*Table13[[#This Row],[UnitPrice]]*(1-Table13[[#This Row],[Discount Rate]])</f>
        <v>3237.9</v>
      </c>
      <c r="S214" t="s">
        <v>1058</v>
      </c>
      <c r="T214">
        <f>IF(Table13[[#This Row],[Returned]]="N",0,1)</f>
        <v>0</v>
      </c>
    </row>
    <row r="215" spans="1:20" x14ac:dyDescent="0.35">
      <c r="A215">
        <v>20213</v>
      </c>
      <c r="B215" s="11">
        <v>45323</v>
      </c>
      <c r="C215" t="s">
        <v>23</v>
      </c>
      <c r="D215" t="s">
        <v>75</v>
      </c>
      <c r="E215" t="s">
        <v>25</v>
      </c>
      <c r="F215" t="s">
        <v>26</v>
      </c>
      <c r="G215" t="s">
        <v>57</v>
      </c>
      <c r="H215" s="18">
        <v>23</v>
      </c>
      <c r="I215" s="9">
        <v>124.02</v>
      </c>
      <c r="J215" s="9" t="e">
        <v>#VALUE!</v>
      </c>
      <c r="K215" s="5"/>
      <c r="L215" t="s">
        <v>72</v>
      </c>
      <c r="M215" t="s">
        <v>60</v>
      </c>
      <c r="N215" t="s">
        <v>151</v>
      </c>
      <c r="O215">
        <v>124.02</v>
      </c>
      <c r="P215" s="5">
        <v>2567.2139999999999</v>
      </c>
      <c r="Q215" s="10">
        <v>0.1</v>
      </c>
      <c r="R215" s="19">
        <f>Table13[[#This Row],[Units]]*Table13[[#This Row],[UnitPrice]]*(1-Table13[[#This Row],[Discount Rate]])</f>
        <v>2567.2139999999999</v>
      </c>
      <c r="S215" t="s">
        <v>1058</v>
      </c>
      <c r="T215">
        <f>IF(Table13[[#This Row],[Returned]]="N",0,1)</f>
        <v>1</v>
      </c>
    </row>
    <row r="216" spans="1:20" x14ac:dyDescent="0.35">
      <c r="A216">
        <v>20214</v>
      </c>
      <c r="B216" s="11">
        <v>45319</v>
      </c>
      <c r="C216" t="s">
        <v>23</v>
      </c>
      <c r="D216" t="s">
        <v>15</v>
      </c>
      <c r="E216" t="s">
        <v>101</v>
      </c>
      <c r="F216" t="s">
        <v>17</v>
      </c>
      <c r="G216" t="s">
        <v>18</v>
      </c>
      <c r="H216" s="18">
        <v>4</v>
      </c>
      <c r="I216" s="9">
        <v>148.38</v>
      </c>
      <c r="J216" s="9">
        <v>593.51</v>
      </c>
      <c r="K216" s="5" t="s">
        <v>665</v>
      </c>
      <c r="L216" t="s">
        <v>1056</v>
      </c>
      <c r="M216" t="s">
        <v>30</v>
      </c>
      <c r="N216" t="s">
        <v>21</v>
      </c>
      <c r="O216">
        <v>148.38</v>
      </c>
      <c r="P216" s="5">
        <v>593.52</v>
      </c>
      <c r="Q216" s="10">
        <v>0</v>
      </c>
      <c r="R216" s="19">
        <f>Table13[[#This Row],[Units]]*Table13[[#This Row],[UnitPrice]]*(1-Table13[[#This Row],[Discount Rate]])</f>
        <v>593.52</v>
      </c>
      <c r="S216" t="s">
        <v>1058</v>
      </c>
      <c r="T216">
        <f>IF(Table13[[#This Row],[Returned]]="N",0,1)</f>
        <v>0</v>
      </c>
    </row>
    <row r="217" spans="1:20" x14ac:dyDescent="0.35">
      <c r="A217">
        <v>20215</v>
      </c>
      <c r="B217" s="11">
        <v>45352</v>
      </c>
      <c r="C217" t="s">
        <v>100</v>
      </c>
      <c r="D217" t="s">
        <v>33</v>
      </c>
      <c r="E217" t="s">
        <v>42</v>
      </c>
      <c r="F217" t="s">
        <v>17</v>
      </c>
      <c r="G217" t="s">
        <v>57</v>
      </c>
      <c r="H217" s="18">
        <v>23</v>
      </c>
      <c r="I217" s="9">
        <v>200</v>
      </c>
      <c r="J217" s="9">
        <v>4703</v>
      </c>
      <c r="K217" s="5" t="s">
        <v>666</v>
      </c>
      <c r="L217" t="s">
        <v>1056</v>
      </c>
      <c r="M217" t="s">
        <v>60</v>
      </c>
      <c r="N217" t="s">
        <v>151</v>
      </c>
      <c r="O217">
        <v>200</v>
      </c>
      <c r="P217" s="5">
        <v>4600</v>
      </c>
      <c r="Q217" s="10">
        <v>0</v>
      </c>
      <c r="R217" s="19">
        <f>Table13[[#This Row],[Units]]*Table13[[#This Row],[UnitPrice]]*(1-Table13[[#This Row],[Discount Rate]])</f>
        <v>4600</v>
      </c>
      <c r="S217" t="s">
        <v>1058</v>
      </c>
      <c r="T217">
        <f>IF(Table13[[#This Row],[Returned]]="N",0,1)</f>
        <v>1</v>
      </c>
    </row>
    <row r="218" spans="1:20" x14ac:dyDescent="0.35">
      <c r="A218">
        <v>20216</v>
      </c>
      <c r="B218" s="11">
        <v>45306</v>
      </c>
      <c r="C218" t="s">
        <v>84</v>
      </c>
      <c r="D218" t="s">
        <v>55</v>
      </c>
      <c r="E218" t="s">
        <v>142</v>
      </c>
      <c r="F218" t="s">
        <v>17</v>
      </c>
      <c r="G218" t="s">
        <v>27</v>
      </c>
      <c r="H218" s="18">
        <v>10</v>
      </c>
      <c r="I218" s="9">
        <v>182.08</v>
      </c>
      <c r="J218" s="9">
        <v>1820.78</v>
      </c>
      <c r="K218" s="5" t="s">
        <v>669</v>
      </c>
      <c r="L218" t="s">
        <v>1056</v>
      </c>
      <c r="M218" t="s">
        <v>60</v>
      </c>
      <c r="N218" t="s">
        <v>21</v>
      </c>
      <c r="O218">
        <v>182.08</v>
      </c>
      <c r="P218" s="5">
        <v>1820.8000000000002</v>
      </c>
      <c r="Q218" s="10">
        <v>0</v>
      </c>
      <c r="R218" s="19">
        <f>Table13[[#This Row],[Units]]*Table13[[#This Row],[UnitPrice]]*(1-Table13[[#This Row],[Discount Rate]])</f>
        <v>1820.8000000000002</v>
      </c>
      <c r="S218" t="s">
        <v>1058</v>
      </c>
      <c r="T218">
        <f>IF(Table13[[#This Row],[Returned]]="N",0,1)</f>
        <v>0</v>
      </c>
    </row>
    <row r="219" spans="1:20" x14ac:dyDescent="0.35">
      <c r="A219">
        <v>20217</v>
      </c>
      <c r="B219" s="11">
        <v>45378</v>
      </c>
      <c r="C219" t="s">
        <v>652</v>
      </c>
      <c r="D219" t="s">
        <v>121</v>
      </c>
      <c r="E219" t="s">
        <v>34</v>
      </c>
      <c r="F219" t="s">
        <v>26</v>
      </c>
      <c r="G219" t="s">
        <v>43</v>
      </c>
      <c r="H219" s="18">
        <v>17</v>
      </c>
      <c r="I219" s="9">
        <v>381.64</v>
      </c>
      <c r="J219" s="9">
        <v>6487.86</v>
      </c>
      <c r="K219" s="5" t="s">
        <v>672</v>
      </c>
      <c r="L219" t="s">
        <v>1056</v>
      </c>
      <c r="M219" t="s">
        <v>60</v>
      </c>
      <c r="N219" t="s">
        <v>21</v>
      </c>
      <c r="O219">
        <v>381.64</v>
      </c>
      <c r="P219" s="5">
        <v>6487.88</v>
      </c>
      <c r="Q219" s="10">
        <v>0</v>
      </c>
      <c r="R219" s="19">
        <f>Table13[[#This Row],[Units]]*Table13[[#This Row],[UnitPrice]]*(1-Table13[[#This Row],[Discount Rate]])</f>
        <v>6487.88</v>
      </c>
      <c r="S219" t="s">
        <v>1058</v>
      </c>
      <c r="T219">
        <f>IF(Table13[[#This Row],[Returned]]="N",0,1)</f>
        <v>0</v>
      </c>
    </row>
    <row r="220" spans="1:20" x14ac:dyDescent="0.35">
      <c r="A220">
        <v>20218</v>
      </c>
      <c r="B220" s="11">
        <v>45351</v>
      </c>
      <c r="C220" t="s">
        <v>100</v>
      </c>
      <c r="D220" t="s">
        <v>68</v>
      </c>
      <c r="E220" t="s">
        <v>16</v>
      </c>
      <c r="F220" t="s">
        <v>17</v>
      </c>
      <c r="G220" t="s">
        <v>57</v>
      </c>
      <c r="H220" s="18">
        <v>2</v>
      </c>
      <c r="I220" s="9">
        <v>33</v>
      </c>
      <c r="J220" s="9">
        <v>58.53</v>
      </c>
      <c r="K220" s="5" t="s">
        <v>675</v>
      </c>
      <c r="L220" t="s">
        <v>72</v>
      </c>
      <c r="M220" t="s">
        <v>30</v>
      </c>
      <c r="N220" t="s">
        <v>21</v>
      </c>
      <c r="O220">
        <v>33</v>
      </c>
      <c r="P220" s="5">
        <v>59.4</v>
      </c>
      <c r="Q220" s="10">
        <v>0.1</v>
      </c>
      <c r="R220" s="19">
        <f>Table13[[#This Row],[Units]]*Table13[[#This Row],[UnitPrice]]*(1-Table13[[#This Row],[Discount Rate]])</f>
        <v>59.4</v>
      </c>
      <c r="S220" t="s">
        <v>1058</v>
      </c>
      <c r="T220">
        <f>IF(Table13[[#This Row],[Returned]]="N",0,1)</f>
        <v>0</v>
      </c>
    </row>
    <row r="221" spans="1:20" x14ac:dyDescent="0.35">
      <c r="A221">
        <v>20219</v>
      </c>
      <c r="B221" s="11">
        <v>45292</v>
      </c>
      <c r="C221" t="s">
        <v>23</v>
      </c>
      <c r="D221" t="s">
        <v>15</v>
      </c>
      <c r="E221" t="s">
        <v>101</v>
      </c>
      <c r="F221" t="s">
        <v>17</v>
      </c>
      <c r="G221" t="s">
        <v>35</v>
      </c>
      <c r="H221" s="18">
        <v>19</v>
      </c>
      <c r="I221" s="9">
        <v>140</v>
      </c>
      <c r="J221" s="9">
        <v>2123.41</v>
      </c>
      <c r="K221" s="5" t="s">
        <v>677</v>
      </c>
      <c r="L221" t="s">
        <v>116</v>
      </c>
      <c r="M221" t="s">
        <v>60</v>
      </c>
      <c r="N221" t="s">
        <v>21</v>
      </c>
      <c r="O221">
        <v>140</v>
      </c>
      <c r="P221" s="5">
        <v>2128</v>
      </c>
      <c r="Q221" s="10">
        <v>0.2</v>
      </c>
      <c r="R221" s="19">
        <f>Table13[[#This Row],[Units]]*Table13[[#This Row],[UnitPrice]]*(1-Table13[[#This Row],[Discount Rate]])</f>
        <v>2128</v>
      </c>
      <c r="S221" t="s">
        <v>1058</v>
      </c>
      <c r="T221">
        <f>IF(Table13[[#This Row],[Returned]]="N",0,1)</f>
        <v>0</v>
      </c>
    </row>
    <row r="222" spans="1:20" x14ac:dyDescent="0.35">
      <c r="A222">
        <v>20220</v>
      </c>
      <c r="B222" s="11">
        <v>45312</v>
      </c>
      <c r="C222" t="s">
        <v>23</v>
      </c>
      <c r="D222" t="s">
        <v>177</v>
      </c>
      <c r="E222" t="s">
        <v>69</v>
      </c>
      <c r="F222" t="s">
        <v>26</v>
      </c>
      <c r="G222" t="s">
        <v>57</v>
      </c>
      <c r="H222" s="18">
        <v>4</v>
      </c>
      <c r="I222" s="9">
        <v>35</v>
      </c>
      <c r="J222" s="9">
        <v>132.72999999999999</v>
      </c>
      <c r="K222" s="5" t="s">
        <v>678</v>
      </c>
      <c r="L222" t="s">
        <v>1056</v>
      </c>
      <c r="M222" t="s">
        <v>38</v>
      </c>
      <c r="N222" t="s">
        <v>21</v>
      </c>
      <c r="O222">
        <v>35</v>
      </c>
      <c r="P222" s="5">
        <v>140</v>
      </c>
      <c r="Q222" s="10">
        <v>0</v>
      </c>
      <c r="R222" s="19">
        <f>Table13[[#This Row],[Units]]*Table13[[#This Row],[UnitPrice]]*(1-Table13[[#This Row],[Discount Rate]])</f>
        <v>140</v>
      </c>
      <c r="S222" t="s">
        <v>1058</v>
      </c>
      <c r="T222">
        <f>IF(Table13[[#This Row],[Returned]]="N",0,1)</f>
        <v>0</v>
      </c>
    </row>
    <row r="223" spans="1:20" x14ac:dyDescent="0.35">
      <c r="A223">
        <v>20221</v>
      </c>
      <c r="B223" s="11">
        <v>45378</v>
      </c>
      <c r="C223" t="s">
        <v>96</v>
      </c>
      <c r="D223" t="s">
        <v>314</v>
      </c>
      <c r="E223" t="s">
        <v>25</v>
      </c>
      <c r="F223" t="s">
        <v>26</v>
      </c>
      <c r="G223" t="s">
        <v>57</v>
      </c>
      <c r="H223" s="18">
        <v>1</v>
      </c>
      <c r="I223" s="9">
        <v>110</v>
      </c>
      <c r="J223" s="9">
        <v>104.21</v>
      </c>
      <c r="K223" s="5" t="s">
        <v>680</v>
      </c>
      <c r="L223" t="s">
        <v>104</v>
      </c>
      <c r="M223" t="s">
        <v>30</v>
      </c>
      <c r="N223" t="s">
        <v>21</v>
      </c>
      <c r="O223">
        <v>110</v>
      </c>
      <c r="P223" s="5">
        <v>104.5</v>
      </c>
      <c r="Q223" s="10">
        <v>0.05</v>
      </c>
      <c r="R223" s="19">
        <f>Table13[[#This Row],[Units]]*Table13[[#This Row],[UnitPrice]]*(1-Table13[[#This Row],[Discount Rate]])</f>
        <v>104.5</v>
      </c>
      <c r="S223" t="s">
        <v>1058</v>
      </c>
      <c r="T223">
        <f>IF(Table13[[#This Row],[Returned]]="N",0,1)</f>
        <v>0</v>
      </c>
    </row>
    <row r="224" spans="1:20" x14ac:dyDescent="0.35">
      <c r="A224">
        <v>20222</v>
      </c>
      <c r="B224" s="11">
        <v>45346</v>
      </c>
      <c r="C224" t="s">
        <v>100</v>
      </c>
      <c r="D224" t="s">
        <v>33</v>
      </c>
      <c r="E224" t="s">
        <v>85</v>
      </c>
      <c r="F224" t="s">
        <v>17</v>
      </c>
      <c r="G224" t="s">
        <v>57</v>
      </c>
      <c r="H224" s="18">
        <v>13</v>
      </c>
      <c r="I224" s="9">
        <v>61.6</v>
      </c>
      <c r="J224" s="9">
        <v>800.83</v>
      </c>
      <c r="K224" s="5" t="s">
        <v>682</v>
      </c>
      <c r="L224" t="s">
        <v>1056</v>
      </c>
      <c r="M224" t="s">
        <v>60</v>
      </c>
      <c r="N224" t="s">
        <v>21</v>
      </c>
      <c r="O224">
        <v>61.6</v>
      </c>
      <c r="P224" s="5">
        <v>800.80000000000007</v>
      </c>
      <c r="Q224" s="10">
        <v>0</v>
      </c>
      <c r="R224" s="19">
        <f>Table13[[#This Row],[Units]]*Table13[[#This Row],[UnitPrice]]*(1-Table13[[#This Row],[Discount Rate]])</f>
        <v>800.80000000000007</v>
      </c>
      <c r="S224" t="s">
        <v>1058</v>
      </c>
      <c r="T224">
        <f>IF(Table13[[#This Row],[Returned]]="N",0,1)</f>
        <v>0</v>
      </c>
    </row>
    <row r="225" spans="1:20" x14ac:dyDescent="0.35">
      <c r="A225">
        <v>20223</v>
      </c>
      <c r="B225" s="11">
        <v>45361</v>
      </c>
      <c r="C225" t="s">
        <v>96</v>
      </c>
      <c r="D225" t="s">
        <v>49</v>
      </c>
      <c r="E225" t="s">
        <v>69</v>
      </c>
      <c r="F225" t="s">
        <v>26</v>
      </c>
      <c r="G225" t="s">
        <v>57</v>
      </c>
      <c r="H225" s="18">
        <v>17</v>
      </c>
      <c r="I225" s="9">
        <v>32.11</v>
      </c>
      <c r="J225" s="9">
        <v>491</v>
      </c>
      <c r="K225" s="5" t="s">
        <v>683</v>
      </c>
      <c r="L225" t="s">
        <v>72</v>
      </c>
      <c r="M225" t="s">
        <v>60</v>
      </c>
      <c r="N225" t="s">
        <v>21</v>
      </c>
      <c r="O225">
        <v>32.11</v>
      </c>
      <c r="P225" s="5">
        <v>491.28300000000002</v>
      </c>
      <c r="Q225" s="10">
        <v>0.1</v>
      </c>
      <c r="R225" s="19">
        <f>Table13[[#This Row],[Units]]*Table13[[#This Row],[UnitPrice]]*(1-Table13[[#This Row],[Discount Rate]])</f>
        <v>491.28300000000002</v>
      </c>
      <c r="S225" t="s">
        <v>1058</v>
      </c>
      <c r="T225">
        <f>IF(Table13[[#This Row],[Returned]]="N",0,1)</f>
        <v>0</v>
      </c>
    </row>
    <row r="226" spans="1:20" x14ac:dyDescent="0.35">
      <c r="A226">
        <v>20224</v>
      </c>
      <c r="B226" s="11">
        <v>45328</v>
      </c>
      <c r="C226" t="s">
        <v>23</v>
      </c>
      <c r="D226" t="s">
        <v>15</v>
      </c>
      <c r="E226" t="s">
        <v>85</v>
      </c>
      <c r="F226" t="s">
        <v>17</v>
      </c>
      <c r="G226" t="s">
        <v>27</v>
      </c>
      <c r="H226" s="18">
        <v>11</v>
      </c>
      <c r="I226" s="9">
        <v>68.73</v>
      </c>
      <c r="J226" s="9">
        <v>756.02</v>
      </c>
      <c r="K226" s="5" t="s">
        <v>686</v>
      </c>
      <c r="L226" t="s">
        <v>1056</v>
      </c>
      <c r="M226" t="s">
        <v>30</v>
      </c>
      <c r="N226" t="s">
        <v>21</v>
      </c>
      <c r="O226">
        <v>68.73</v>
      </c>
      <c r="P226" s="5">
        <v>756.03000000000009</v>
      </c>
      <c r="Q226" s="10">
        <v>0</v>
      </c>
      <c r="R226" s="19">
        <f>Table13[[#This Row],[Units]]*Table13[[#This Row],[UnitPrice]]*(1-Table13[[#This Row],[Discount Rate]])</f>
        <v>756.03000000000009</v>
      </c>
      <c r="S226" t="s">
        <v>1058</v>
      </c>
      <c r="T226">
        <f>IF(Table13[[#This Row],[Returned]]="N",0,1)</f>
        <v>0</v>
      </c>
    </row>
    <row r="227" spans="1:20" x14ac:dyDescent="0.35">
      <c r="A227">
        <v>20225</v>
      </c>
      <c r="B227" s="11">
        <v>45295</v>
      </c>
      <c r="C227" t="s">
        <v>23</v>
      </c>
      <c r="D227" t="s">
        <v>24</v>
      </c>
      <c r="E227" t="s">
        <v>42</v>
      </c>
      <c r="F227" t="s">
        <v>17</v>
      </c>
      <c r="G227" t="s">
        <v>35</v>
      </c>
      <c r="H227" s="18">
        <v>6</v>
      </c>
      <c r="I227" s="9">
        <v>181.65</v>
      </c>
      <c r="J227" s="9">
        <v>980.89</v>
      </c>
      <c r="K227" s="5" t="s">
        <v>689</v>
      </c>
      <c r="L227" t="s">
        <v>570</v>
      </c>
      <c r="M227" t="s">
        <v>60</v>
      </c>
      <c r="N227" t="s">
        <v>21</v>
      </c>
      <c r="O227">
        <v>181.65</v>
      </c>
      <c r="P227" s="5">
        <v>980.91000000000008</v>
      </c>
      <c r="Q227" s="10">
        <v>0.1</v>
      </c>
      <c r="R227" s="19">
        <f>Table13[[#This Row],[Units]]*Table13[[#This Row],[UnitPrice]]*(1-Table13[[#This Row],[Discount Rate]])</f>
        <v>980.91000000000008</v>
      </c>
      <c r="S227" t="s">
        <v>1058</v>
      </c>
      <c r="T227">
        <f>IF(Table13[[#This Row],[Returned]]="N",0,1)</f>
        <v>0</v>
      </c>
    </row>
    <row r="228" spans="1:20" x14ac:dyDescent="0.35">
      <c r="A228">
        <v>20226</v>
      </c>
      <c r="B228" s="11">
        <v>45331</v>
      </c>
      <c r="C228" t="s">
        <v>23</v>
      </c>
      <c r="D228" t="s">
        <v>24</v>
      </c>
      <c r="E228" t="s">
        <v>34</v>
      </c>
      <c r="F228" t="s">
        <v>26</v>
      </c>
      <c r="G228" t="s">
        <v>35</v>
      </c>
      <c r="H228" s="18">
        <v>10</v>
      </c>
      <c r="I228" s="9">
        <v>441</v>
      </c>
      <c r="J228" s="9">
        <v>4413.5</v>
      </c>
      <c r="K228" s="5" t="s">
        <v>692</v>
      </c>
      <c r="L228" t="s">
        <v>1056</v>
      </c>
      <c r="M228" t="s">
        <v>30</v>
      </c>
      <c r="N228" t="s">
        <v>21</v>
      </c>
      <c r="O228">
        <v>441</v>
      </c>
      <c r="P228" s="5">
        <v>4410</v>
      </c>
      <c r="Q228" s="10">
        <v>0</v>
      </c>
      <c r="R228" s="19">
        <f>Table13[[#This Row],[Units]]*Table13[[#This Row],[UnitPrice]]*(1-Table13[[#This Row],[Discount Rate]])</f>
        <v>4410</v>
      </c>
      <c r="S228" t="s">
        <v>1058</v>
      </c>
      <c r="T228">
        <f>IF(Table13[[#This Row],[Returned]]="N",0,1)</f>
        <v>0</v>
      </c>
    </row>
    <row r="229" spans="1:20" x14ac:dyDescent="0.35">
      <c r="A229">
        <v>20227</v>
      </c>
      <c r="B229" s="11">
        <v>45339</v>
      </c>
      <c r="C229" t="s">
        <v>23</v>
      </c>
      <c r="D229" t="s">
        <v>15</v>
      </c>
      <c r="E229" t="s">
        <v>166</v>
      </c>
      <c r="F229" t="s">
        <v>17</v>
      </c>
      <c r="G229" t="s">
        <v>43</v>
      </c>
      <c r="H229" s="18">
        <v>15</v>
      </c>
      <c r="I229" s="9">
        <v>27</v>
      </c>
      <c r="J229" s="9">
        <v>409</v>
      </c>
      <c r="K229" s="5" t="s">
        <v>695</v>
      </c>
      <c r="L229" t="s">
        <v>1056</v>
      </c>
      <c r="M229" t="s">
        <v>30</v>
      </c>
      <c r="N229" t="s">
        <v>21</v>
      </c>
      <c r="O229">
        <v>27</v>
      </c>
      <c r="P229" s="5">
        <v>405</v>
      </c>
      <c r="Q229" s="10">
        <v>0</v>
      </c>
      <c r="R229" s="19">
        <f>Table13[[#This Row],[Units]]*Table13[[#This Row],[UnitPrice]]*(1-Table13[[#This Row],[Discount Rate]])</f>
        <v>405</v>
      </c>
      <c r="S229" t="s">
        <v>1058</v>
      </c>
      <c r="T229">
        <f>IF(Table13[[#This Row],[Returned]]="N",0,1)</f>
        <v>0</v>
      </c>
    </row>
    <row r="230" spans="1:20" x14ac:dyDescent="0.35">
      <c r="A230">
        <v>20228</v>
      </c>
      <c r="B230" s="11">
        <v>45363</v>
      </c>
      <c r="C230" t="s">
        <v>23</v>
      </c>
      <c r="D230" t="s">
        <v>177</v>
      </c>
      <c r="E230" t="s">
        <v>69</v>
      </c>
      <c r="F230" t="s">
        <v>26</v>
      </c>
      <c r="G230" t="s">
        <v>27</v>
      </c>
      <c r="H230" s="18">
        <v>14</v>
      </c>
      <c r="I230" s="9">
        <v>34.4</v>
      </c>
      <c r="J230" s="9">
        <v>385.27</v>
      </c>
      <c r="K230" s="5" t="s">
        <v>698</v>
      </c>
      <c r="L230" t="s">
        <v>116</v>
      </c>
      <c r="M230" t="s">
        <v>30</v>
      </c>
      <c r="N230" t="s">
        <v>21</v>
      </c>
      <c r="O230">
        <v>34.4</v>
      </c>
      <c r="P230" s="5">
        <v>385.28</v>
      </c>
      <c r="Q230" s="10">
        <v>0.2</v>
      </c>
      <c r="R230" s="19">
        <f>Table13[[#This Row],[Units]]*Table13[[#This Row],[UnitPrice]]*(1-Table13[[#This Row],[Discount Rate]])</f>
        <v>385.28</v>
      </c>
      <c r="S230" t="s">
        <v>1058</v>
      </c>
      <c r="T230">
        <f>IF(Table13[[#This Row],[Returned]]="N",0,1)</f>
        <v>0</v>
      </c>
    </row>
    <row r="231" spans="1:20" x14ac:dyDescent="0.35">
      <c r="A231">
        <v>20229</v>
      </c>
      <c r="B231" s="11">
        <v>45323</v>
      </c>
      <c r="C231" t="s">
        <v>100</v>
      </c>
      <c r="D231" t="s">
        <v>141</v>
      </c>
      <c r="E231" t="s">
        <v>166</v>
      </c>
      <c r="F231" t="s">
        <v>17</v>
      </c>
      <c r="G231" t="s">
        <v>43</v>
      </c>
      <c r="H231" s="18">
        <v>18</v>
      </c>
      <c r="I231" s="9">
        <v>23.62</v>
      </c>
      <c r="J231" s="9">
        <v>425.21</v>
      </c>
      <c r="K231" s="5" t="s">
        <v>701</v>
      </c>
      <c r="L231" t="s">
        <v>1056</v>
      </c>
      <c r="M231" t="s">
        <v>30</v>
      </c>
      <c r="N231" t="s">
        <v>21</v>
      </c>
      <c r="O231">
        <v>23.62</v>
      </c>
      <c r="P231" s="5">
        <v>425.16</v>
      </c>
      <c r="Q231" s="10">
        <v>0</v>
      </c>
      <c r="R231" s="19">
        <f>Table13[[#This Row],[Units]]*Table13[[#This Row],[UnitPrice]]*(1-Table13[[#This Row],[Discount Rate]])</f>
        <v>425.16</v>
      </c>
      <c r="S231" t="s">
        <v>1058</v>
      </c>
      <c r="T231">
        <f>IF(Table13[[#This Row],[Returned]]="N",0,1)</f>
        <v>0</v>
      </c>
    </row>
    <row r="232" spans="1:20" x14ac:dyDescent="0.35">
      <c r="A232">
        <v>20230</v>
      </c>
      <c r="B232" s="11">
        <v>45329</v>
      </c>
      <c r="C232" t="s">
        <v>96</v>
      </c>
      <c r="D232" t="s">
        <v>49</v>
      </c>
      <c r="E232" t="s">
        <v>166</v>
      </c>
      <c r="F232" t="s">
        <v>17</v>
      </c>
      <c r="G232" t="s">
        <v>35</v>
      </c>
      <c r="H232" s="18">
        <v>21</v>
      </c>
      <c r="I232" s="9">
        <v>22.59</v>
      </c>
      <c r="J232" s="9">
        <v>474.34</v>
      </c>
      <c r="K232" s="5" t="s">
        <v>703</v>
      </c>
      <c r="L232" t="s">
        <v>1056</v>
      </c>
      <c r="M232" t="s">
        <v>60</v>
      </c>
      <c r="N232" t="s">
        <v>21</v>
      </c>
      <c r="O232">
        <v>22.59</v>
      </c>
      <c r="P232" s="5">
        <v>474.39</v>
      </c>
      <c r="Q232" s="10">
        <v>0</v>
      </c>
      <c r="R232" s="19">
        <f>Table13[[#This Row],[Units]]*Table13[[#This Row],[UnitPrice]]*(1-Table13[[#This Row],[Discount Rate]])</f>
        <v>474.39</v>
      </c>
      <c r="S232" t="s">
        <v>1058</v>
      </c>
      <c r="T232">
        <f>IF(Table13[[#This Row],[Returned]]="N",0,1)</f>
        <v>0</v>
      </c>
    </row>
    <row r="233" spans="1:20" x14ac:dyDescent="0.35">
      <c r="A233">
        <v>20231</v>
      </c>
      <c r="B233" s="11">
        <v>45363</v>
      </c>
      <c r="C233" t="s">
        <v>23</v>
      </c>
      <c r="D233" t="s">
        <v>15</v>
      </c>
      <c r="E233" t="s">
        <v>85</v>
      </c>
      <c r="F233" t="s">
        <v>17</v>
      </c>
      <c r="G233" t="s">
        <v>35</v>
      </c>
      <c r="H233" s="18">
        <v>25</v>
      </c>
      <c r="I233" s="9">
        <v>67.45</v>
      </c>
      <c r="J233" s="9">
        <v>1518</v>
      </c>
      <c r="K233" s="5" t="s">
        <v>705</v>
      </c>
      <c r="L233" t="s">
        <v>72</v>
      </c>
      <c r="M233" t="s">
        <v>60</v>
      </c>
      <c r="N233" t="s">
        <v>21</v>
      </c>
      <c r="O233">
        <v>67.45</v>
      </c>
      <c r="P233" s="5">
        <v>1517.625</v>
      </c>
      <c r="Q233" s="10">
        <v>0.1</v>
      </c>
      <c r="R233" s="19">
        <f>Table13[[#This Row],[Units]]*Table13[[#This Row],[UnitPrice]]*(1-Table13[[#This Row],[Discount Rate]])</f>
        <v>1517.625</v>
      </c>
      <c r="S233" t="s">
        <v>1058</v>
      </c>
      <c r="T233">
        <f>IF(Table13[[#This Row],[Returned]]="N",0,1)</f>
        <v>0</v>
      </c>
    </row>
    <row r="234" spans="1:20" x14ac:dyDescent="0.35">
      <c r="A234">
        <v>20232</v>
      </c>
      <c r="B234" s="11">
        <v>45301</v>
      </c>
      <c r="C234" t="s">
        <v>23</v>
      </c>
      <c r="D234" t="s">
        <v>24</v>
      </c>
      <c r="E234" t="s">
        <v>142</v>
      </c>
      <c r="F234" t="s">
        <v>17</v>
      </c>
      <c r="G234" t="s">
        <v>35</v>
      </c>
      <c r="H234" s="18">
        <v>20</v>
      </c>
      <c r="I234" s="9">
        <v>196.92</v>
      </c>
      <c r="J234" s="9">
        <v>3544.63</v>
      </c>
      <c r="K234" s="5" t="s">
        <v>708</v>
      </c>
      <c r="L234" t="s">
        <v>72</v>
      </c>
      <c r="M234" t="s">
        <v>30</v>
      </c>
      <c r="N234" t="s">
        <v>21</v>
      </c>
      <c r="O234">
        <v>196.92</v>
      </c>
      <c r="P234" s="5">
        <v>3544.56</v>
      </c>
      <c r="Q234" s="10">
        <v>0.1</v>
      </c>
      <c r="R234" s="19">
        <f>Table13[[#This Row],[Units]]*Table13[[#This Row],[UnitPrice]]*(1-Table13[[#This Row],[Discount Rate]])</f>
        <v>3544.56</v>
      </c>
      <c r="S234" t="s">
        <v>1058</v>
      </c>
      <c r="T234">
        <f>IF(Table13[[#This Row],[Returned]]="N",0,1)</f>
        <v>0</v>
      </c>
    </row>
    <row r="235" spans="1:20" x14ac:dyDescent="0.35">
      <c r="A235">
        <v>20233</v>
      </c>
      <c r="B235" s="11">
        <v>45337</v>
      </c>
      <c r="C235" t="s">
        <v>96</v>
      </c>
      <c r="D235" t="s">
        <v>49</v>
      </c>
      <c r="E235" t="s">
        <v>50</v>
      </c>
      <c r="F235" t="s">
        <v>17</v>
      </c>
      <c r="G235" t="s">
        <v>35</v>
      </c>
      <c r="H235" s="18">
        <v>10</v>
      </c>
      <c r="I235" s="9">
        <v>472.91</v>
      </c>
      <c r="J235" s="9">
        <v>4729.1000000000004</v>
      </c>
      <c r="K235" s="5" t="s">
        <v>710</v>
      </c>
      <c r="L235" t="s">
        <v>1056</v>
      </c>
      <c r="M235" t="s">
        <v>30</v>
      </c>
      <c r="N235" t="s">
        <v>21</v>
      </c>
      <c r="O235">
        <v>472.91</v>
      </c>
      <c r="P235" s="5">
        <v>4729.1000000000004</v>
      </c>
      <c r="Q235" s="10">
        <v>0</v>
      </c>
      <c r="R235" s="19">
        <f>Table13[[#This Row],[Units]]*Table13[[#This Row],[UnitPrice]]*(1-Table13[[#This Row],[Discount Rate]])</f>
        <v>4729.1000000000004</v>
      </c>
      <c r="S235" t="s">
        <v>1058</v>
      </c>
      <c r="T235">
        <f>IF(Table13[[#This Row],[Returned]]="N",0,1)</f>
        <v>0</v>
      </c>
    </row>
    <row r="236" spans="1:20" x14ac:dyDescent="0.35">
      <c r="A236">
        <v>20234</v>
      </c>
      <c r="B236" s="11">
        <v>45340</v>
      </c>
      <c r="C236" t="s">
        <v>23</v>
      </c>
      <c r="D236" t="s">
        <v>75</v>
      </c>
      <c r="E236" t="s">
        <v>85</v>
      </c>
      <c r="F236" t="s">
        <v>17</v>
      </c>
      <c r="G236" t="s">
        <v>18</v>
      </c>
      <c r="H236" s="18">
        <v>20</v>
      </c>
      <c r="I236" s="9">
        <v>58.56</v>
      </c>
      <c r="J236" s="9">
        <v>1171.1300000000001</v>
      </c>
      <c r="K236" s="5" t="s">
        <v>712</v>
      </c>
      <c r="L236" t="s">
        <v>1056</v>
      </c>
      <c r="M236" t="s">
        <v>60</v>
      </c>
      <c r="N236" t="s">
        <v>21</v>
      </c>
      <c r="O236">
        <v>58.56</v>
      </c>
      <c r="P236" s="5">
        <v>1171.2</v>
      </c>
      <c r="Q236" s="10">
        <v>0</v>
      </c>
      <c r="R236" s="19">
        <f>Table13[[#This Row],[Units]]*Table13[[#This Row],[UnitPrice]]*(1-Table13[[#This Row],[Discount Rate]])</f>
        <v>1171.2</v>
      </c>
      <c r="S236" t="s">
        <v>1058</v>
      </c>
      <c r="T236">
        <f>IF(Table13[[#This Row],[Returned]]="N",0,1)</f>
        <v>0</v>
      </c>
    </row>
    <row r="237" spans="1:20" x14ac:dyDescent="0.35">
      <c r="A237">
        <v>20235</v>
      </c>
      <c r="B237" s="11">
        <v>45352</v>
      </c>
      <c r="C237" t="s">
        <v>23</v>
      </c>
      <c r="D237" t="s">
        <v>15</v>
      </c>
      <c r="E237" t="s">
        <v>69</v>
      </c>
      <c r="F237" t="s">
        <v>26</v>
      </c>
      <c r="G237" t="s">
        <v>76</v>
      </c>
      <c r="H237" s="18">
        <v>18</v>
      </c>
      <c r="I237" s="9">
        <v>32.08</v>
      </c>
      <c r="J237" s="9">
        <v>577.36</v>
      </c>
      <c r="K237" s="5" t="s">
        <v>715</v>
      </c>
      <c r="L237" t="s">
        <v>1056</v>
      </c>
      <c r="M237" t="s">
        <v>30</v>
      </c>
      <c r="N237" t="s">
        <v>21</v>
      </c>
      <c r="O237">
        <v>32.08</v>
      </c>
      <c r="P237" s="5">
        <v>577.43999999999994</v>
      </c>
      <c r="Q237" s="10">
        <v>0</v>
      </c>
      <c r="R237" s="19">
        <f>Table13[[#This Row],[Units]]*Table13[[#This Row],[UnitPrice]]*(1-Table13[[#This Row],[Discount Rate]])</f>
        <v>577.43999999999994</v>
      </c>
      <c r="S237" t="s">
        <v>1058</v>
      </c>
      <c r="T237">
        <f>IF(Table13[[#This Row],[Returned]]="N",0,1)</f>
        <v>0</v>
      </c>
    </row>
    <row r="238" spans="1:20" x14ac:dyDescent="0.35">
      <c r="A238">
        <v>20236</v>
      </c>
      <c r="B238" s="11">
        <v>45374</v>
      </c>
      <c r="C238" t="s">
        <v>100</v>
      </c>
      <c r="D238" t="s">
        <v>141</v>
      </c>
      <c r="E238" t="s">
        <v>42</v>
      </c>
      <c r="F238" t="s">
        <v>17</v>
      </c>
      <c r="G238" t="s">
        <v>76</v>
      </c>
      <c r="H238" s="18">
        <v>4</v>
      </c>
      <c r="I238" s="9">
        <v>215.7</v>
      </c>
      <c r="J238" s="9">
        <v>776.51</v>
      </c>
      <c r="K238" s="5" t="s">
        <v>718</v>
      </c>
      <c r="L238" t="s">
        <v>72</v>
      </c>
      <c r="M238" t="s">
        <v>30</v>
      </c>
      <c r="N238" t="s">
        <v>21</v>
      </c>
      <c r="O238">
        <v>215.7</v>
      </c>
      <c r="P238" s="5">
        <v>776.52</v>
      </c>
      <c r="Q238" s="10">
        <v>0.1</v>
      </c>
      <c r="R238" s="19">
        <f>Table13[[#This Row],[Units]]*Table13[[#This Row],[UnitPrice]]*(1-Table13[[#This Row],[Discount Rate]])</f>
        <v>776.52</v>
      </c>
      <c r="S238" t="s">
        <v>1058</v>
      </c>
      <c r="T238">
        <f>IF(Table13[[#This Row],[Returned]]="N",0,1)</f>
        <v>0</v>
      </c>
    </row>
    <row r="239" spans="1:20" x14ac:dyDescent="0.35">
      <c r="A239">
        <v>20237</v>
      </c>
      <c r="B239" s="11">
        <v>45376</v>
      </c>
      <c r="C239" t="s">
        <v>225</v>
      </c>
      <c r="D239" t="s">
        <v>113</v>
      </c>
      <c r="E239" t="s">
        <v>50</v>
      </c>
      <c r="F239" t="s">
        <v>17</v>
      </c>
      <c r="G239" t="s">
        <v>76</v>
      </c>
      <c r="H239" s="18">
        <v>8</v>
      </c>
      <c r="I239" s="9">
        <v>417.11</v>
      </c>
      <c r="J239" s="9">
        <v>3336.92</v>
      </c>
      <c r="K239" s="5" t="s">
        <v>721</v>
      </c>
      <c r="L239" t="s">
        <v>1056</v>
      </c>
      <c r="M239" t="s">
        <v>30</v>
      </c>
      <c r="N239" t="s">
        <v>21</v>
      </c>
      <c r="O239">
        <v>417.11</v>
      </c>
      <c r="P239" s="5">
        <v>3336.88</v>
      </c>
      <c r="Q239" s="10">
        <v>0</v>
      </c>
      <c r="R239" s="19">
        <f>Table13[[#This Row],[Units]]*Table13[[#This Row],[UnitPrice]]*(1-Table13[[#This Row],[Discount Rate]])</f>
        <v>3336.88</v>
      </c>
      <c r="S239" t="s">
        <v>1058</v>
      </c>
      <c r="T239">
        <f>IF(Table13[[#This Row],[Returned]]="N",0,1)</f>
        <v>0</v>
      </c>
    </row>
    <row r="240" spans="1:20" x14ac:dyDescent="0.35">
      <c r="A240">
        <v>20238</v>
      </c>
      <c r="B240" s="11">
        <v>45364</v>
      </c>
      <c r="C240" t="s">
        <v>23</v>
      </c>
      <c r="D240" t="s">
        <v>75</v>
      </c>
      <c r="E240" t="s">
        <v>56</v>
      </c>
      <c r="F240" t="s">
        <v>17</v>
      </c>
      <c r="G240" t="s">
        <v>18</v>
      </c>
      <c r="H240" s="18">
        <v>13</v>
      </c>
      <c r="I240" s="9">
        <v>909.99</v>
      </c>
      <c r="J240" s="9">
        <v>11829.85</v>
      </c>
      <c r="K240" s="5" t="s">
        <v>724</v>
      </c>
      <c r="L240" t="s">
        <v>1056</v>
      </c>
      <c r="M240" t="s">
        <v>60</v>
      </c>
      <c r="N240" t="s">
        <v>21</v>
      </c>
      <c r="O240">
        <v>909.99</v>
      </c>
      <c r="P240" s="5">
        <v>11829.87</v>
      </c>
      <c r="Q240" s="10">
        <v>0</v>
      </c>
      <c r="R240" s="19">
        <f>Table13[[#This Row],[Units]]*Table13[[#This Row],[UnitPrice]]*(1-Table13[[#This Row],[Discount Rate]])</f>
        <v>11829.87</v>
      </c>
      <c r="S240" t="s">
        <v>1058</v>
      </c>
      <c r="T240">
        <f>IF(Table13[[#This Row],[Returned]]="N",0,1)</f>
        <v>0</v>
      </c>
    </row>
    <row r="241" spans="1:20" x14ac:dyDescent="0.35">
      <c r="A241">
        <v>20239</v>
      </c>
      <c r="B241" s="11">
        <v>45376</v>
      </c>
      <c r="C241" t="s">
        <v>96</v>
      </c>
      <c r="D241" t="s">
        <v>49</v>
      </c>
      <c r="E241" t="s">
        <v>166</v>
      </c>
      <c r="F241" t="s">
        <v>17</v>
      </c>
      <c r="G241" t="s">
        <v>18</v>
      </c>
      <c r="H241" s="18">
        <v>20</v>
      </c>
      <c r="I241" s="9">
        <v>26.33</v>
      </c>
      <c r="J241" s="9">
        <v>473.98</v>
      </c>
      <c r="K241" s="5" t="s">
        <v>727</v>
      </c>
      <c r="L241" t="s">
        <v>72</v>
      </c>
      <c r="M241" t="s">
        <v>30</v>
      </c>
      <c r="N241" t="s">
        <v>21</v>
      </c>
      <c r="O241">
        <v>26.33</v>
      </c>
      <c r="P241" s="5">
        <v>473.93999999999994</v>
      </c>
      <c r="Q241" s="10">
        <v>0.1</v>
      </c>
      <c r="R241" s="19">
        <f>Table13[[#This Row],[Units]]*Table13[[#This Row],[UnitPrice]]*(1-Table13[[#This Row],[Discount Rate]])</f>
        <v>473.93999999999994</v>
      </c>
      <c r="S241" t="s">
        <v>1058</v>
      </c>
      <c r="T241">
        <f>IF(Table13[[#This Row],[Returned]]="N",0,1)</f>
        <v>0</v>
      </c>
    </row>
    <row r="242" spans="1:20" x14ac:dyDescent="0.35">
      <c r="A242">
        <v>20240</v>
      </c>
      <c r="B242" s="11">
        <v>45378</v>
      </c>
      <c r="C242" t="s">
        <v>23</v>
      </c>
      <c r="D242" t="s">
        <v>75</v>
      </c>
      <c r="E242" t="s">
        <v>25</v>
      </c>
      <c r="F242" t="s">
        <v>26</v>
      </c>
      <c r="G242" t="s">
        <v>35</v>
      </c>
      <c r="H242" s="18">
        <v>2</v>
      </c>
      <c r="I242" s="9">
        <v>128.72</v>
      </c>
      <c r="J242" s="9">
        <v>257.44</v>
      </c>
      <c r="K242" s="5" t="s">
        <v>729</v>
      </c>
      <c r="L242" t="s">
        <v>1056</v>
      </c>
      <c r="M242" t="s">
        <v>30</v>
      </c>
      <c r="N242" t="s">
        <v>21</v>
      </c>
      <c r="O242">
        <v>128.72</v>
      </c>
      <c r="P242" s="5">
        <v>257.44</v>
      </c>
      <c r="Q242" s="10">
        <v>0</v>
      </c>
      <c r="R242" s="19">
        <f>Table13[[#This Row],[Units]]*Table13[[#This Row],[UnitPrice]]*(1-Table13[[#This Row],[Discount Rate]])</f>
        <v>257.44</v>
      </c>
      <c r="S242" t="s">
        <v>1058</v>
      </c>
      <c r="T242">
        <f>IF(Table13[[#This Row],[Returned]]="N",0,1)</f>
        <v>0</v>
      </c>
    </row>
    <row r="243" spans="1:20" x14ac:dyDescent="0.35">
      <c r="A243">
        <v>20241</v>
      </c>
      <c r="B243" s="11">
        <v>45318</v>
      </c>
      <c r="C243" t="s">
        <v>225</v>
      </c>
      <c r="D243" t="s">
        <v>113</v>
      </c>
      <c r="E243" t="s">
        <v>16</v>
      </c>
      <c r="F243" t="s">
        <v>17</v>
      </c>
      <c r="G243" t="s">
        <v>27</v>
      </c>
      <c r="H243" s="18">
        <v>3</v>
      </c>
      <c r="I243" s="9">
        <v>35.25</v>
      </c>
      <c r="J243" s="9">
        <v>100.46</v>
      </c>
      <c r="K243" s="5" t="s">
        <v>732</v>
      </c>
      <c r="L243" t="s">
        <v>104</v>
      </c>
      <c r="M243" t="s">
        <v>30</v>
      </c>
      <c r="N243" t="s">
        <v>151</v>
      </c>
      <c r="O243">
        <v>35.25</v>
      </c>
      <c r="P243" s="5">
        <v>100.46249999999999</v>
      </c>
      <c r="Q243" s="10">
        <v>0.05</v>
      </c>
      <c r="R243" s="19">
        <f>Table13[[#This Row],[Units]]*Table13[[#This Row],[UnitPrice]]*(1-Table13[[#This Row],[Discount Rate]])</f>
        <v>100.46249999999999</v>
      </c>
      <c r="S243" t="s">
        <v>1058</v>
      </c>
      <c r="T243">
        <f>IF(Table13[[#This Row],[Returned]]="N",0,1)</f>
        <v>1</v>
      </c>
    </row>
    <row r="244" spans="1:20" x14ac:dyDescent="0.35">
      <c r="A244">
        <v>20242</v>
      </c>
      <c r="B244" s="11">
        <v>45364</v>
      </c>
      <c r="C244" t="s">
        <v>100</v>
      </c>
      <c r="D244" t="s">
        <v>141</v>
      </c>
      <c r="E244" t="s">
        <v>107</v>
      </c>
      <c r="F244" t="s">
        <v>26</v>
      </c>
      <c r="G244" t="s">
        <v>76</v>
      </c>
      <c r="H244" s="18">
        <v>15</v>
      </c>
      <c r="I244" s="9">
        <v>283</v>
      </c>
      <c r="J244" s="9">
        <v>3815.96</v>
      </c>
      <c r="K244" s="5" t="s">
        <v>735</v>
      </c>
      <c r="L244" t="s">
        <v>72</v>
      </c>
      <c r="M244" t="s">
        <v>30</v>
      </c>
      <c r="N244" t="s">
        <v>21</v>
      </c>
      <c r="O244">
        <v>283</v>
      </c>
      <c r="P244" s="5">
        <v>3820.5</v>
      </c>
      <c r="Q244" s="10">
        <v>0.1</v>
      </c>
      <c r="R244" s="19">
        <f>Table13[[#This Row],[Units]]*Table13[[#This Row],[UnitPrice]]*(1-Table13[[#This Row],[Discount Rate]])</f>
        <v>3820.5</v>
      </c>
      <c r="S244" t="s">
        <v>1058</v>
      </c>
      <c r="T244">
        <f>IF(Table13[[#This Row],[Returned]]="N",0,1)</f>
        <v>0</v>
      </c>
    </row>
    <row r="245" spans="1:20" x14ac:dyDescent="0.35">
      <c r="A245">
        <v>20243</v>
      </c>
      <c r="B245" s="11">
        <v>45363</v>
      </c>
      <c r="C245" t="s">
        <v>652</v>
      </c>
      <c r="D245" t="s">
        <v>41</v>
      </c>
      <c r="E245" t="s">
        <v>107</v>
      </c>
      <c r="F245" t="s">
        <v>26</v>
      </c>
      <c r="G245" t="s">
        <v>57</v>
      </c>
      <c r="H245" s="18">
        <v>3</v>
      </c>
      <c r="I245" s="9">
        <v>299.37</v>
      </c>
      <c r="J245" s="9">
        <v>898.12</v>
      </c>
      <c r="K245" s="5" t="s">
        <v>737</v>
      </c>
      <c r="L245" t="s">
        <v>1056</v>
      </c>
      <c r="M245" t="s">
        <v>30</v>
      </c>
      <c r="N245" t="s">
        <v>21</v>
      </c>
      <c r="O245">
        <v>299.37</v>
      </c>
      <c r="P245" s="5">
        <v>898.11</v>
      </c>
      <c r="Q245" s="10">
        <v>0</v>
      </c>
      <c r="R245" s="19">
        <f>Table13[[#This Row],[Units]]*Table13[[#This Row],[UnitPrice]]*(1-Table13[[#This Row],[Discount Rate]])</f>
        <v>898.11</v>
      </c>
      <c r="S245" t="s">
        <v>1058</v>
      </c>
      <c r="T245">
        <f>IF(Table13[[#This Row],[Returned]]="N",0,1)</f>
        <v>0</v>
      </c>
    </row>
    <row r="246" spans="1:20" x14ac:dyDescent="0.35">
      <c r="A246">
        <v>20244</v>
      </c>
      <c r="B246" s="11">
        <v>45356</v>
      </c>
      <c r="C246" t="s">
        <v>23</v>
      </c>
      <c r="D246" t="s">
        <v>15</v>
      </c>
      <c r="E246" t="s">
        <v>34</v>
      </c>
      <c r="F246" t="s">
        <v>26</v>
      </c>
      <c r="G246" t="s">
        <v>43</v>
      </c>
      <c r="H246" s="18">
        <v>16</v>
      </c>
      <c r="I246" s="9">
        <v>383</v>
      </c>
      <c r="J246" s="9">
        <v>5510.12</v>
      </c>
      <c r="K246" s="5" t="s">
        <v>740</v>
      </c>
      <c r="L246" t="s">
        <v>72</v>
      </c>
      <c r="M246" t="s">
        <v>30</v>
      </c>
      <c r="N246" t="s">
        <v>21</v>
      </c>
      <c r="O246">
        <v>383</v>
      </c>
      <c r="P246" s="5">
        <v>5515.2</v>
      </c>
      <c r="Q246" s="10">
        <v>0.1</v>
      </c>
      <c r="R246" s="19">
        <f>Table13[[#This Row],[Units]]*Table13[[#This Row],[UnitPrice]]*(1-Table13[[#This Row],[Discount Rate]])</f>
        <v>5515.2</v>
      </c>
      <c r="S246" t="s">
        <v>1058</v>
      </c>
      <c r="T246">
        <f>IF(Table13[[#This Row],[Returned]]="N",0,1)</f>
        <v>0</v>
      </c>
    </row>
    <row r="247" spans="1:20" x14ac:dyDescent="0.35">
      <c r="A247">
        <v>20245</v>
      </c>
      <c r="B247" s="11">
        <v>45332</v>
      </c>
      <c r="C247" t="s">
        <v>23</v>
      </c>
      <c r="D247" t="s">
        <v>15</v>
      </c>
      <c r="E247" t="s">
        <v>101</v>
      </c>
      <c r="F247" t="s">
        <v>17</v>
      </c>
      <c r="G247" t="s">
        <v>76</v>
      </c>
      <c r="H247" s="18">
        <v>11</v>
      </c>
      <c r="I247" s="9">
        <v>146.63999999999999</v>
      </c>
      <c r="J247" s="9">
        <v>1451.76</v>
      </c>
      <c r="K247" s="5" t="s">
        <v>743</v>
      </c>
      <c r="L247" t="s">
        <v>72</v>
      </c>
      <c r="M247" t="s">
        <v>30</v>
      </c>
      <c r="N247" t="s">
        <v>21</v>
      </c>
      <c r="O247">
        <v>146.63999999999999</v>
      </c>
      <c r="P247" s="5">
        <v>1451.7360000000001</v>
      </c>
      <c r="Q247" s="10">
        <v>0.1</v>
      </c>
      <c r="R247" s="19">
        <f>Table13[[#This Row],[Units]]*Table13[[#This Row],[UnitPrice]]*(1-Table13[[#This Row],[Discount Rate]])</f>
        <v>1451.7360000000001</v>
      </c>
      <c r="S247" t="s">
        <v>1058</v>
      </c>
      <c r="T247">
        <f>IF(Table13[[#This Row],[Returned]]="N",0,1)</f>
        <v>0</v>
      </c>
    </row>
    <row r="248" spans="1:20" x14ac:dyDescent="0.35">
      <c r="A248">
        <v>20246</v>
      </c>
      <c r="B248" s="11">
        <v>45342</v>
      </c>
      <c r="C248" t="s">
        <v>23</v>
      </c>
      <c r="D248" t="s">
        <v>24</v>
      </c>
      <c r="E248" t="s">
        <v>166</v>
      </c>
      <c r="F248" t="s">
        <v>395</v>
      </c>
      <c r="G248" t="s">
        <v>18</v>
      </c>
      <c r="H248" s="18">
        <v>24</v>
      </c>
      <c r="I248" s="9">
        <v>26.49</v>
      </c>
      <c r="J248" s="9">
        <v>508.7</v>
      </c>
      <c r="K248" s="5" t="s">
        <v>745</v>
      </c>
      <c r="L248" t="s">
        <v>116</v>
      </c>
      <c r="M248" t="s">
        <v>60</v>
      </c>
      <c r="N248" t="s">
        <v>21</v>
      </c>
      <c r="O248">
        <v>26.49</v>
      </c>
      <c r="P248" s="5">
        <v>508.608</v>
      </c>
      <c r="Q248" s="10">
        <v>0.2</v>
      </c>
      <c r="R248" s="19">
        <f>Table13[[#This Row],[Units]]*Table13[[#This Row],[UnitPrice]]*(1-Table13[[#This Row],[Discount Rate]])</f>
        <v>508.608</v>
      </c>
      <c r="S248" t="s">
        <v>1058</v>
      </c>
      <c r="T248">
        <f>IF(Table13[[#This Row],[Returned]]="N",0,1)</f>
        <v>0</v>
      </c>
    </row>
    <row r="249" spans="1:20" x14ac:dyDescent="0.35">
      <c r="A249">
        <v>20247</v>
      </c>
      <c r="B249" s="11">
        <v>45356</v>
      </c>
      <c r="C249" t="s">
        <v>96</v>
      </c>
      <c r="D249" t="s">
        <v>49</v>
      </c>
      <c r="E249" t="s">
        <v>34</v>
      </c>
      <c r="F249" t="s">
        <v>26</v>
      </c>
      <c r="G249" t="s">
        <v>35</v>
      </c>
      <c r="H249" s="18">
        <v>14</v>
      </c>
      <c r="I249" s="9">
        <v>401.02</v>
      </c>
      <c r="J249" s="9">
        <v>5614.27</v>
      </c>
      <c r="K249" s="5" t="s">
        <v>747</v>
      </c>
      <c r="L249" t="s">
        <v>1056</v>
      </c>
      <c r="M249" t="s">
        <v>30</v>
      </c>
      <c r="N249" t="s">
        <v>21</v>
      </c>
      <c r="O249">
        <v>401.02</v>
      </c>
      <c r="P249" s="5">
        <v>5614.28</v>
      </c>
      <c r="Q249" s="10">
        <v>0</v>
      </c>
      <c r="R249" s="19">
        <f>Table13[[#This Row],[Units]]*Table13[[#This Row],[UnitPrice]]*(1-Table13[[#This Row],[Discount Rate]])</f>
        <v>5614.28</v>
      </c>
      <c r="S249" t="s">
        <v>1058</v>
      </c>
      <c r="T249">
        <f>IF(Table13[[#This Row],[Returned]]="N",0,1)</f>
        <v>0</v>
      </c>
    </row>
    <row r="250" spans="1:20" x14ac:dyDescent="0.35">
      <c r="A250">
        <v>20248</v>
      </c>
      <c r="B250" s="11">
        <v>45353</v>
      </c>
      <c r="C250" t="s">
        <v>100</v>
      </c>
      <c r="D250" t="s">
        <v>141</v>
      </c>
      <c r="E250" t="s">
        <v>34</v>
      </c>
      <c r="F250" t="s">
        <v>26</v>
      </c>
      <c r="G250" t="s">
        <v>18</v>
      </c>
      <c r="H250" s="18">
        <v>9</v>
      </c>
      <c r="I250" s="9">
        <v>430.78</v>
      </c>
      <c r="J250" s="9">
        <v>3876.99</v>
      </c>
      <c r="K250" s="5" t="s">
        <v>750</v>
      </c>
      <c r="L250" t="s">
        <v>1056</v>
      </c>
      <c r="M250" t="s">
        <v>60</v>
      </c>
      <c r="N250" t="s">
        <v>21</v>
      </c>
      <c r="O250">
        <v>430.78</v>
      </c>
      <c r="P250" s="5">
        <v>3877.0199999999995</v>
      </c>
      <c r="Q250" s="10">
        <v>0</v>
      </c>
      <c r="R250" s="19">
        <f>Table13[[#This Row],[Units]]*Table13[[#This Row],[UnitPrice]]*(1-Table13[[#This Row],[Discount Rate]])</f>
        <v>3877.0199999999995</v>
      </c>
      <c r="S250" t="s">
        <v>1058</v>
      </c>
      <c r="T250">
        <f>IF(Table13[[#This Row],[Returned]]="N",0,1)</f>
        <v>0</v>
      </c>
    </row>
    <row r="251" spans="1:20" x14ac:dyDescent="0.35">
      <c r="A251">
        <v>20249</v>
      </c>
      <c r="B251" s="11">
        <v>45364</v>
      </c>
      <c r="C251" t="s">
        <v>23</v>
      </c>
      <c r="D251" t="s">
        <v>24</v>
      </c>
      <c r="E251" t="s">
        <v>42</v>
      </c>
      <c r="F251" t="s">
        <v>17</v>
      </c>
      <c r="G251" t="s">
        <v>76</v>
      </c>
      <c r="H251" s="18">
        <v>19</v>
      </c>
      <c r="I251" s="9">
        <v>216.92</v>
      </c>
      <c r="J251" s="9">
        <v>3503.33</v>
      </c>
      <c r="K251" s="5" t="s">
        <v>753</v>
      </c>
      <c r="L251" t="s">
        <v>220</v>
      </c>
      <c r="M251" t="s">
        <v>60</v>
      </c>
      <c r="N251" t="s">
        <v>21</v>
      </c>
      <c r="O251">
        <v>216.92</v>
      </c>
      <c r="P251" s="5">
        <v>3503.2579999999994</v>
      </c>
      <c r="Q251" s="10">
        <v>0.15</v>
      </c>
      <c r="R251" s="19">
        <f>Table13[[#This Row],[Units]]*Table13[[#This Row],[UnitPrice]]*(1-Table13[[#This Row],[Discount Rate]])</f>
        <v>3503.2579999999994</v>
      </c>
      <c r="S251" t="s">
        <v>1058</v>
      </c>
      <c r="T251">
        <f>IF(Table13[[#This Row],[Returned]]="N",0,1)</f>
        <v>0</v>
      </c>
    </row>
    <row r="252" spans="1:20" x14ac:dyDescent="0.35">
      <c r="A252">
        <v>20250</v>
      </c>
      <c r="B252" s="11">
        <v>45371</v>
      </c>
      <c r="C252" t="s">
        <v>96</v>
      </c>
      <c r="D252" t="s">
        <v>314</v>
      </c>
      <c r="E252" t="s">
        <v>16</v>
      </c>
      <c r="F252" t="s">
        <v>17</v>
      </c>
      <c r="G252" t="s">
        <v>57</v>
      </c>
      <c r="H252" s="18">
        <v>18</v>
      </c>
      <c r="I252" s="9">
        <v>34.17</v>
      </c>
      <c r="J252" s="9">
        <v>615.14</v>
      </c>
      <c r="K252" s="5" t="s">
        <v>756</v>
      </c>
      <c r="L252" t="s">
        <v>1056</v>
      </c>
      <c r="M252" t="s">
        <v>60</v>
      </c>
      <c r="N252" t="s">
        <v>21</v>
      </c>
      <c r="O252">
        <v>34.17</v>
      </c>
      <c r="P252" s="5">
        <v>615.06000000000006</v>
      </c>
      <c r="Q252" s="10">
        <v>0</v>
      </c>
      <c r="R252" s="19">
        <f>Table13[[#This Row],[Units]]*Table13[[#This Row],[UnitPrice]]*(1-Table13[[#This Row],[Discount Rate]])</f>
        <v>615.06000000000006</v>
      </c>
      <c r="S252" t="s">
        <v>1058</v>
      </c>
      <c r="T252">
        <f>IF(Table13[[#This Row],[Returned]]="N",0,1)</f>
        <v>0</v>
      </c>
    </row>
    <row r="253" spans="1:20" x14ac:dyDescent="0.35">
      <c r="A253">
        <v>20251</v>
      </c>
      <c r="B253" s="11">
        <v>45371</v>
      </c>
      <c r="C253" t="s">
        <v>23</v>
      </c>
      <c r="D253" t="s">
        <v>24</v>
      </c>
      <c r="E253" t="s">
        <v>142</v>
      </c>
      <c r="F253" t="s">
        <v>17</v>
      </c>
      <c r="G253" t="s">
        <v>18</v>
      </c>
      <c r="H253" s="18">
        <v>13</v>
      </c>
      <c r="I253" s="9">
        <v>188.5</v>
      </c>
      <c r="J253" s="9">
        <v>1960</v>
      </c>
      <c r="K253" s="5" t="s">
        <v>758</v>
      </c>
      <c r="L253" t="s">
        <v>116</v>
      </c>
      <c r="M253" t="s">
        <v>30</v>
      </c>
      <c r="N253" t="s">
        <v>21</v>
      </c>
      <c r="O253">
        <v>188.5</v>
      </c>
      <c r="P253" s="5">
        <v>1960.4</v>
      </c>
      <c r="Q253" s="10">
        <v>0.2</v>
      </c>
      <c r="R253" s="19">
        <f>Table13[[#This Row],[Units]]*Table13[[#This Row],[UnitPrice]]*(1-Table13[[#This Row],[Discount Rate]])</f>
        <v>1960.4</v>
      </c>
      <c r="S253" t="s">
        <v>1058</v>
      </c>
      <c r="T253">
        <f>IF(Table13[[#This Row],[Returned]]="N",0,1)</f>
        <v>0</v>
      </c>
    </row>
    <row r="254" spans="1:20" x14ac:dyDescent="0.35">
      <c r="A254">
        <v>20252</v>
      </c>
      <c r="B254" s="11">
        <v>45325</v>
      </c>
      <c r="C254" t="s">
        <v>225</v>
      </c>
      <c r="D254" t="s">
        <v>113</v>
      </c>
      <c r="E254" t="s">
        <v>42</v>
      </c>
      <c r="F254" t="s">
        <v>17</v>
      </c>
      <c r="G254" t="s">
        <v>35</v>
      </c>
      <c r="H254" s="18">
        <v>15</v>
      </c>
      <c r="I254" s="9">
        <v>208.41</v>
      </c>
      <c r="J254" s="9">
        <v>2657</v>
      </c>
      <c r="K254" s="5" t="s">
        <v>761</v>
      </c>
      <c r="L254" t="s">
        <v>220</v>
      </c>
      <c r="M254" t="s">
        <v>60</v>
      </c>
      <c r="N254" t="s">
        <v>21</v>
      </c>
      <c r="O254">
        <v>208.41</v>
      </c>
      <c r="P254" s="5">
        <v>2657.2275</v>
      </c>
      <c r="Q254" s="10">
        <v>0.15</v>
      </c>
      <c r="R254" s="19">
        <f>Table13[[#This Row],[Units]]*Table13[[#This Row],[UnitPrice]]*(1-Table13[[#This Row],[Discount Rate]])</f>
        <v>2657.2275</v>
      </c>
      <c r="S254" t="s">
        <v>1058</v>
      </c>
      <c r="T254">
        <f>IF(Table13[[#This Row],[Returned]]="N",0,1)</f>
        <v>0</v>
      </c>
    </row>
    <row r="255" spans="1:20" x14ac:dyDescent="0.35">
      <c r="A255">
        <v>20253</v>
      </c>
      <c r="B255" s="11">
        <v>45336</v>
      </c>
      <c r="C255" t="s">
        <v>84</v>
      </c>
      <c r="D255" t="s">
        <v>55</v>
      </c>
      <c r="E255" t="s">
        <v>16</v>
      </c>
      <c r="F255" t="s">
        <v>17</v>
      </c>
      <c r="G255" t="s">
        <v>18</v>
      </c>
      <c r="H255" s="18">
        <v>2</v>
      </c>
      <c r="I255" s="9">
        <v>32.64</v>
      </c>
      <c r="J255" s="9">
        <v>65.290000000000006</v>
      </c>
      <c r="K255" s="5" t="s">
        <v>763</v>
      </c>
      <c r="L255" t="s">
        <v>1056</v>
      </c>
      <c r="M255" t="s">
        <v>30</v>
      </c>
      <c r="N255" t="s">
        <v>21</v>
      </c>
      <c r="O255">
        <v>32.64</v>
      </c>
      <c r="P255" s="5">
        <v>65.28</v>
      </c>
      <c r="Q255" s="10">
        <v>0</v>
      </c>
      <c r="R255" s="19">
        <f>Table13[[#This Row],[Units]]*Table13[[#This Row],[UnitPrice]]*(1-Table13[[#This Row],[Discount Rate]])</f>
        <v>65.28</v>
      </c>
      <c r="S255" t="s">
        <v>1058</v>
      </c>
      <c r="T255">
        <f>IF(Table13[[#This Row],[Returned]]="N",0,1)</f>
        <v>0</v>
      </c>
    </row>
    <row r="256" spans="1:20" x14ac:dyDescent="0.35">
      <c r="A256">
        <v>20254</v>
      </c>
      <c r="B256" s="11">
        <v>45350</v>
      </c>
      <c r="C256" t="s">
        <v>96</v>
      </c>
      <c r="D256" t="s">
        <v>314</v>
      </c>
      <c r="E256" t="s">
        <v>85</v>
      </c>
      <c r="F256" t="s">
        <v>17</v>
      </c>
      <c r="G256" t="s">
        <v>76</v>
      </c>
      <c r="H256" s="18">
        <v>18</v>
      </c>
      <c r="I256" s="9">
        <v>65</v>
      </c>
      <c r="J256" s="9">
        <v>1211.4000000000001</v>
      </c>
      <c r="K256" s="5" t="s">
        <v>765</v>
      </c>
      <c r="L256" t="s">
        <v>1056</v>
      </c>
      <c r="M256" t="s">
        <v>60</v>
      </c>
      <c r="N256" t="s">
        <v>21</v>
      </c>
      <c r="O256">
        <v>65</v>
      </c>
      <c r="P256" s="5">
        <v>1170</v>
      </c>
      <c r="Q256" s="10">
        <v>0</v>
      </c>
      <c r="R256" s="19">
        <f>Table13[[#This Row],[Units]]*Table13[[#This Row],[UnitPrice]]*(1-Table13[[#This Row],[Discount Rate]])</f>
        <v>1170</v>
      </c>
      <c r="S256" t="s">
        <v>1058</v>
      </c>
      <c r="T256">
        <f>IF(Table13[[#This Row],[Returned]]="N",0,1)</f>
        <v>0</v>
      </c>
    </row>
    <row r="257" spans="1:20" x14ac:dyDescent="0.35">
      <c r="A257">
        <v>20255</v>
      </c>
      <c r="B257" s="11">
        <v>45318</v>
      </c>
      <c r="C257" t="s">
        <v>23</v>
      </c>
      <c r="D257" t="s">
        <v>177</v>
      </c>
      <c r="E257" t="s">
        <v>25</v>
      </c>
      <c r="F257" t="s">
        <v>26</v>
      </c>
      <c r="G257" t="s">
        <v>43</v>
      </c>
      <c r="H257" s="18">
        <v>19</v>
      </c>
      <c r="I257" s="9">
        <v>127.24</v>
      </c>
      <c r="J257" s="9">
        <v>2417.5100000000002</v>
      </c>
      <c r="K257" s="5" t="s">
        <v>768</v>
      </c>
      <c r="L257" t="s">
        <v>1056</v>
      </c>
      <c r="M257" t="s">
        <v>60</v>
      </c>
      <c r="N257" t="s">
        <v>21</v>
      </c>
      <c r="O257">
        <v>127.24</v>
      </c>
      <c r="P257" s="5">
        <v>2417.56</v>
      </c>
      <c r="Q257" s="10">
        <v>0</v>
      </c>
      <c r="R257" s="19">
        <f>Table13[[#This Row],[Units]]*Table13[[#This Row],[UnitPrice]]*(1-Table13[[#This Row],[Discount Rate]])</f>
        <v>2417.56</v>
      </c>
      <c r="S257" t="s">
        <v>1058</v>
      </c>
      <c r="T257">
        <f>IF(Table13[[#This Row],[Returned]]="N",0,1)</f>
        <v>0</v>
      </c>
    </row>
    <row r="258" spans="1:20" x14ac:dyDescent="0.35">
      <c r="A258">
        <v>20256</v>
      </c>
      <c r="B258" s="11">
        <v>45335</v>
      </c>
      <c r="C258" t="s">
        <v>23</v>
      </c>
      <c r="D258" t="s">
        <v>177</v>
      </c>
      <c r="E258" t="s">
        <v>107</v>
      </c>
      <c r="F258" t="s">
        <v>26</v>
      </c>
      <c r="G258" t="s">
        <v>76</v>
      </c>
      <c r="H258" s="18">
        <v>24</v>
      </c>
      <c r="I258" s="9">
        <v>257.38</v>
      </c>
      <c r="J258" s="9">
        <v>5868.32</v>
      </c>
      <c r="K258" s="5" t="s">
        <v>771</v>
      </c>
      <c r="L258" t="s">
        <v>104</v>
      </c>
      <c r="M258" t="s">
        <v>60</v>
      </c>
      <c r="N258" t="s">
        <v>151</v>
      </c>
      <c r="O258">
        <v>257.38</v>
      </c>
      <c r="P258" s="5">
        <v>5868.2639999999992</v>
      </c>
      <c r="Q258" s="10">
        <v>0.05</v>
      </c>
      <c r="R258" s="19">
        <f>Table13[[#This Row],[Units]]*Table13[[#This Row],[UnitPrice]]*(1-Table13[[#This Row],[Discount Rate]])</f>
        <v>5868.2639999999992</v>
      </c>
      <c r="S258" t="s">
        <v>1058</v>
      </c>
      <c r="T258">
        <f>IF(Table13[[#This Row],[Returned]]="N",0,1)</f>
        <v>1</v>
      </c>
    </row>
    <row r="259" spans="1:20" x14ac:dyDescent="0.35">
      <c r="A259">
        <v>20257</v>
      </c>
      <c r="B259" s="11">
        <v>45324</v>
      </c>
      <c r="C259" t="s">
        <v>225</v>
      </c>
      <c r="D259" t="s">
        <v>113</v>
      </c>
      <c r="E259" t="s">
        <v>69</v>
      </c>
      <c r="F259" t="s">
        <v>26</v>
      </c>
      <c r="G259" t="s">
        <v>43</v>
      </c>
      <c r="H259" s="18">
        <v>16</v>
      </c>
      <c r="I259" s="9">
        <v>36.29</v>
      </c>
      <c r="J259" s="9">
        <v>580.64</v>
      </c>
      <c r="K259" s="5" t="s">
        <v>774</v>
      </c>
      <c r="L259" t="s">
        <v>1056</v>
      </c>
      <c r="M259" t="s">
        <v>60</v>
      </c>
      <c r="N259" t="s">
        <v>21</v>
      </c>
      <c r="O259">
        <v>36.29</v>
      </c>
      <c r="P259" s="5">
        <v>580.64</v>
      </c>
      <c r="Q259" s="10">
        <v>0</v>
      </c>
      <c r="R259" s="19">
        <f>Table13[[#This Row],[Units]]*Table13[[#This Row],[UnitPrice]]*(1-Table13[[#This Row],[Discount Rate]])</f>
        <v>580.64</v>
      </c>
      <c r="S259" t="s">
        <v>1058</v>
      </c>
      <c r="T259">
        <f>IF(Table13[[#This Row],[Returned]]="N",0,1)</f>
        <v>0</v>
      </c>
    </row>
    <row r="260" spans="1:20" x14ac:dyDescent="0.35">
      <c r="A260">
        <v>20258</v>
      </c>
      <c r="B260" s="11">
        <v>45360</v>
      </c>
      <c r="C260" t="s">
        <v>652</v>
      </c>
      <c r="D260" t="s">
        <v>121</v>
      </c>
      <c r="E260" t="s">
        <v>107</v>
      </c>
      <c r="F260" t="s">
        <v>126</v>
      </c>
      <c r="G260" t="s">
        <v>57</v>
      </c>
      <c r="H260" s="18">
        <v>17</v>
      </c>
      <c r="I260" s="9">
        <v>294.41000000000003</v>
      </c>
      <c r="J260" s="9">
        <v>5005</v>
      </c>
      <c r="K260" s="5" t="s">
        <v>777</v>
      </c>
      <c r="L260" t="s">
        <v>1056</v>
      </c>
      <c r="M260" t="s">
        <v>60</v>
      </c>
      <c r="N260" t="s">
        <v>21</v>
      </c>
      <c r="O260">
        <v>294.41000000000003</v>
      </c>
      <c r="P260" s="5">
        <v>5004.97</v>
      </c>
      <c r="Q260" s="10">
        <v>0</v>
      </c>
      <c r="R260" s="19">
        <f>Table13[[#This Row],[Units]]*Table13[[#This Row],[UnitPrice]]*(1-Table13[[#This Row],[Discount Rate]])</f>
        <v>5004.97</v>
      </c>
      <c r="S260" t="s">
        <v>1058</v>
      </c>
      <c r="T260">
        <f>IF(Table13[[#This Row],[Returned]]="N",0,1)</f>
        <v>0</v>
      </c>
    </row>
    <row r="261" spans="1:20" x14ac:dyDescent="0.35">
      <c r="A261">
        <v>20259</v>
      </c>
      <c r="B261" s="11">
        <v>45360</v>
      </c>
      <c r="C261" t="s">
        <v>652</v>
      </c>
      <c r="D261" t="s">
        <v>41</v>
      </c>
      <c r="E261" t="s">
        <v>101</v>
      </c>
      <c r="F261" t="s">
        <v>17</v>
      </c>
      <c r="G261" t="s">
        <v>43</v>
      </c>
      <c r="H261" s="18">
        <v>13</v>
      </c>
      <c r="I261" s="9">
        <v>128.44999999999999</v>
      </c>
      <c r="J261" s="9">
        <v>1669.9</v>
      </c>
      <c r="K261" s="5" t="s">
        <v>779</v>
      </c>
      <c r="L261" t="s">
        <v>1056</v>
      </c>
      <c r="M261" t="s">
        <v>30</v>
      </c>
      <c r="N261" t="s">
        <v>21</v>
      </c>
      <c r="O261">
        <v>128.44999999999999</v>
      </c>
      <c r="P261" s="5">
        <v>1669.85</v>
      </c>
      <c r="Q261" s="10">
        <v>0</v>
      </c>
      <c r="R261" s="19">
        <f>Table13[[#This Row],[Units]]*Table13[[#This Row],[UnitPrice]]*(1-Table13[[#This Row],[Discount Rate]])</f>
        <v>1669.85</v>
      </c>
      <c r="S261" t="s">
        <v>1058</v>
      </c>
      <c r="T261">
        <f>IF(Table13[[#This Row],[Returned]]="N",0,1)</f>
        <v>0</v>
      </c>
    </row>
    <row r="262" spans="1:20" x14ac:dyDescent="0.35">
      <c r="A262">
        <v>20260</v>
      </c>
      <c r="B262" s="11">
        <v>45354</v>
      </c>
      <c r="C262" t="s">
        <v>23</v>
      </c>
      <c r="D262" t="s">
        <v>177</v>
      </c>
      <c r="E262" t="s">
        <v>69</v>
      </c>
      <c r="F262" t="s">
        <v>26</v>
      </c>
      <c r="G262" t="s">
        <v>76</v>
      </c>
      <c r="H262" s="18">
        <v>19</v>
      </c>
      <c r="I262" s="9">
        <v>35</v>
      </c>
      <c r="J262" s="9">
        <v>674.23</v>
      </c>
      <c r="K262" s="5" t="s">
        <v>780</v>
      </c>
      <c r="L262" t="s">
        <v>1056</v>
      </c>
      <c r="M262" t="s">
        <v>60</v>
      </c>
      <c r="N262" t="s">
        <v>21</v>
      </c>
      <c r="O262">
        <v>35</v>
      </c>
      <c r="P262" s="5">
        <v>665</v>
      </c>
      <c r="Q262" s="10">
        <v>0</v>
      </c>
      <c r="R262" s="19">
        <f>Table13[[#This Row],[Units]]*Table13[[#This Row],[UnitPrice]]*(1-Table13[[#This Row],[Discount Rate]])</f>
        <v>665</v>
      </c>
      <c r="S262" t="s">
        <v>1058</v>
      </c>
      <c r="T262">
        <f>IF(Table13[[#This Row],[Returned]]="N",0,1)</f>
        <v>0</v>
      </c>
    </row>
    <row r="263" spans="1:20" x14ac:dyDescent="0.35">
      <c r="A263">
        <v>20261</v>
      </c>
      <c r="B263" s="11">
        <v>45321</v>
      </c>
      <c r="C263" t="s">
        <v>96</v>
      </c>
      <c r="D263" t="s">
        <v>314</v>
      </c>
      <c r="E263" t="s">
        <v>142</v>
      </c>
      <c r="F263" t="s">
        <v>17</v>
      </c>
      <c r="G263" t="s">
        <v>76</v>
      </c>
      <c r="H263" s="18">
        <v>19</v>
      </c>
      <c r="I263" s="9">
        <v>171.64</v>
      </c>
      <c r="J263" s="9">
        <v>3261.21</v>
      </c>
      <c r="K263" s="5" t="s">
        <v>783</v>
      </c>
      <c r="L263" t="s">
        <v>1056</v>
      </c>
      <c r="M263" t="s">
        <v>60</v>
      </c>
      <c r="N263" t="s">
        <v>21</v>
      </c>
      <c r="O263">
        <v>171.64</v>
      </c>
      <c r="P263" s="5">
        <v>3261.16</v>
      </c>
      <c r="Q263" s="10">
        <v>0</v>
      </c>
      <c r="R263" s="19">
        <f>Table13[[#This Row],[Units]]*Table13[[#This Row],[UnitPrice]]*(1-Table13[[#This Row],[Discount Rate]])</f>
        <v>3261.16</v>
      </c>
      <c r="S263" t="s">
        <v>1058</v>
      </c>
      <c r="T263">
        <f>IF(Table13[[#This Row],[Returned]]="N",0,1)</f>
        <v>0</v>
      </c>
    </row>
    <row r="264" spans="1:20" x14ac:dyDescent="0.35">
      <c r="A264">
        <v>20262</v>
      </c>
      <c r="B264" s="11">
        <v>45354</v>
      </c>
      <c r="C264" t="s">
        <v>652</v>
      </c>
      <c r="D264" t="s">
        <v>121</v>
      </c>
      <c r="E264" t="s">
        <v>166</v>
      </c>
      <c r="F264" t="s">
        <v>17</v>
      </c>
      <c r="G264" t="s">
        <v>35</v>
      </c>
      <c r="H264" s="18">
        <v>14</v>
      </c>
      <c r="I264" s="9">
        <v>25.87</v>
      </c>
      <c r="J264" s="9">
        <v>362.12</v>
      </c>
      <c r="K264" s="5" t="s">
        <v>785</v>
      </c>
      <c r="L264" t="s">
        <v>1056</v>
      </c>
      <c r="M264" t="s">
        <v>30</v>
      </c>
      <c r="N264" t="s">
        <v>21</v>
      </c>
      <c r="O264">
        <v>25.87</v>
      </c>
      <c r="P264" s="5">
        <v>362.18</v>
      </c>
      <c r="Q264" s="10">
        <v>0</v>
      </c>
      <c r="R264" s="19">
        <f>Table13[[#This Row],[Units]]*Table13[[#This Row],[UnitPrice]]*(1-Table13[[#This Row],[Discount Rate]])</f>
        <v>362.18</v>
      </c>
      <c r="S264" t="s">
        <v>1058</v>
      </c>
      <c r="T264">
        <f>IF(Table13[[#This Row],[Returned]]="N",0,1)</f>
        <v>0</v>
      </c>
    </row>
    <row r="265" spans="1:20" x14ac:dyDescent="0.35">
      <c r="A265">
        <v>20263</v>
      </c>
      <c r="B265" s="11">
        <v>45357</v>
      </c>
      <c r="C265" t="s">
        <v>225</v>
      </c>
      <c r="D265" t="s">
        <v>113</v>
      </c>
      <c r="E265" t="s">
        <v>166</v>
      </c>
      <c r="F265" t="s">
        <v>17</v>
      </c>
      <c r="G265" t="s">
        <v>35</v>
      </c>
      <c r="H265" s="18">
        <v>17</v>
      </c>
      <c r="I265" s="9">
        <v>24.19</v>
      </c>
      <c r="J265" s="9">
        <v>411.21</v>
      </c>
      <c r="K265" s="5" t="s">
        <v>787</v>
      </c>
      <c r="L265" t="s">
        <v>1056</v>
      </c>
      <c r="M265" t="s">
        <v>60</v>
      </c>
      <c r="N265" t="s">
        <v>21</v>
      </c>
      <c r="O265">
        <v>24.19</v>
      </c>
      <c r="P265" s="5">
        <v>411.23</v>
      </c>
      <c r="Q265" s="10">
        <v>0</v>
      </c>
      <c r="R265" s="19">
        <f>Table13[[#This Row],[Units]]*Table13[[#This Row],[UnitPrice]]*(1-Table13[[#This Row],[Discount Rate]])</f>
        <v>411.23</v>
      </c>
      <c r="S265" t="s">
        <v>1058</v>
      </c>
      <c r="T265">
        <f>IF(Table13[[#This Row],[Returned]]="N",0,1)</f>
        <v>0</v>
      </c>
    </row>
    <row r="266" spans="1:20" x14ac:dyDescent="0.35">
      <c r="A266">
        <v>20264</v>
      </c>
      <c r="B266" s="11">
        <v>45338</v>
      </c>
      <c r="C266" t="s">
        <v>96</v>
      </c>
      <c r="D266" t="s">
        <v>314</v>
      </c>
      <c r="E266" t="s">
        <v>101</v>
      </c>
      <c r="F266" t="s">
        <v>17</v>
      </c>
      <c r="G266" t="s">
        <v>35</v>
      </c>
      <c r="H266" s="18">
        <v>4</v>
      </c>
      <c r="I266" s="9">
        <v>127.18</v>
      </c>
      <c r="J266" s="9">
        <v>508.7</v>
      </c>
      <c r="K266" s="5" t="s">
        <v>790</v>
      </c>
      <c r="L266" t="s">
        <v>1056</v>
      </c>
      <c r="M266" t="s">
        <v>30</v>
      </c>
      <c r="N266" t="s">
        <v>21</v>
      </c>
      <c r="O266">
        <v>127.18</v>
      </c>
      <c r="P266" s="5">
        <v>508.72</v>
      </c>
      <c r="Q266" s="10">
        <v>0</v>
      </c>
      <c r="R266" s="19">
        <f>Table13[[#This Row],[Units]]*Table13[[#This Row],[UnitPrice]]*(1-Table13[[#This Row],[Discount Rate]])</f>
        <v>508.72</v>
      </c>
      <c r="S266" t="s">
        <v>1058</v>
      </c>
      <c r="T266">
        <f>IF(Table13[[#This Row],[Returned]]="N",0,1)</f>
        <v>0</v>
      </c>
    </row>
    <row r="267" spans="1:20" x14ac:dyDescent="0.35">
      <c r="A267">
        <v>20265</v>
      </c>
      <c r="B267" s="11">
        <v>45358</v>
      </c>
      <c r="C267" t="s">
        <v>96</v>
      </c>
      <c r="D267" t="s">
        <v>314</v>
      </c>
      <c r="E267" t="s">
        <v>69</v>
      </c>
      <c r="F267" t="s">
        <v>26</v>
      </c>
      <c r="G267" t="s">
        <v>57</v>
      </c>
      <c r="H267" s="18">
        <v>25</v>
      </c>
      <c r="I267" s="9">
        <v>36.78</v>
      </c>
      <c r="J267" s="9">
        <v>919.6</v>
      </c>
      <c r="K267" s="5" t="s">
        <v>793</v>
      </c>
      <c r="L267" t="s">
        <v>1056</v>
      </c>
      <c r="M267" t="s">
        <v>60</v>
      </c>
      <c r="N267" t="s">
        <v>21</v>
      </c>
      <c r="O267">
        <v>36.78</v>
      </c>
      <c r="P267" s="5">
        <v>919.5</v>
      </c>
      <c r="Q267" s="10">
        <v>0</v>
      </c>
      <c r="R267" s="19">
        <f>Table13[[#This Row],[Units]]*Table13[[#This Row],[UnitPrice]]*(1-Table13[[#This Row],[Discount Rate]])</f>
        <v>919.5</v>
      </c>
      <c r="S267" t="s">
        <v>1058</v>
      </c>
      <c r="T267">
        <f>IF(Table13[[#This Row],[Returned]]="N",0,1)</f>
        <v>0</v>
      </c>
    </row>
    <row r="268" spans="1:20" x14ac:dyDescent="0.35">
      <c r="A268">
        <v>20266</v>
      </c>
      <c r="B268" s="11">
        <v>45332</v>
      </c>
      <c r="C268" t="s">
        <v>225</v>
      </c>
      <c r="D268" t="s">
        <v>89</v>
      </c>
      <c r="E268" t="s">
        <v>25</v>
      </c>
      <c r="F268" t="s">
        <v>26</v>
      </c>
      <c r="G268" t="s">
        <v>27</v>
      </c>
      <c r="H268" s="18">
        <v>15</v>
      </c>
      <c r="I268" s="9">
        <v>126.22</v>
      </c>
      <c r="J268" s="9">
        <v>1704</v>
      </c>
      <c r="K268" s="5" t="s">
        <v>796</v>
      </c>
      <c r="L268" t="s">
        <v>72</v>
      </c>
      <c r="M268" t="s">
        <v>60</v>
      </c>
      <c r="N268" t="s">
        <v>21</v>
      </c>
      <c r="O268">
        <v>126.22</v>
      </c>
      <c r="P268" s="5">
        <v>1703.97</v>
      </c>
      <c r="Q268" s="10">
        <v>0.1</v>
      </c>
      <c r="R268" s="19">
        <f>Table13[[#This Row],[Units]]*Table13[[#This Row],[UnitPrice]]*(1-Table13[[#This Row],[Discount Rate]])</f>
        <v>1703.97</v>
      </c>
      <c r="S268" t="s">
        <v>1058</v>
      </c>
      <c r="T268">
        <f>IF(Table13[[#This Row],[Returned]]="N",0,1)</f>
        <v>0</v>
      </c>
    </row>
    <row r="269" spans="1:20" x14ac:dyDescent="0.35">
      <c r="A269">
        <v>20267</v>
      </c>
      <c r="B269" s="11">
        <v>45331</v>
      </c>
      <c r="C269" t="s">
        <v>652</v>
      </c>
      <c r="D269" t="s">
        <v>121</v>
      </c>
      <c r="E269" t="s">
        <v>85</v>
      </c>
      <c r="F269" t="s">
        <v>17</v>
      </c>
      <c r="G269" t="s">
        <v>18</v>
      </c>
      <c r="H269" s="18">
        <v>15</v>
      </c>
      <c r="I269" s="9">
        <v>70.040000000000006</v>
      </c>
      <c r="J269" s="9">
        <v>840</v>
      </c>
      <c r="K269" s="5" t="s">
        <v>799</v>
      </c>
      <c r="L269" t="s">
        <v>116</v>
      </c>
      <c r="M269" t="s">
        <v>30</v>
      </c>
      <c r="N269" t="s">
        <v>21</v>
      </c>
      <c r="O269">
        <v>70.040000000000006</v>
      </c>
      <c r="P269" s="5">
        <v>840.48000000000013</v>
      </c>
      <c r="Q269" s="10">
        <v>0.2</v>
      </c>
      <c r="R269" s="19">
        <f>Table13[[#This Row],[Units]]*Table13[[#This Row],[UnitPrice]]*(1-Table13[[#This Row],[Discount Rate]])</f>
        <v>840.48000000000013</v>
      </c>
      <c r="S269" t="s">
        <v>1058</v>
      </c>
      <c r="T269">
        <f>IF(Table13[[#This Row],[Returned]]="N",0,1)</f>
        <v>0</v>
      </c>
    </row>
    <row r="270" spans="1:20" x14ac:dyDescent="0.35">
      <c r="A270">
        <v>20268</v>
      </c>
      <c r="B270" s="11">
        <v>45364</v>
      </c>
      <c r="C270" t="s">
        <v>225</v>
      </c>
      <c r="D270" t="s">
        <v>113</v>
      </c>
      <c r="E270" t="s">
        <v>142</v>
      </c>
      <c r="F270" t="s">
        <v>17</v>
      </c>
      <c r="G270" t="s">
        <v>27</v>
      </c>
      <c r="H270" s="18">
        <v>2</v>
      </c>
      <c r="I270" s="9">
        <v>171.35</v>
      </c>
      <c r="J270" s="9">
        <v>342.7</v>
      </c>
      <c r="K270" s="5" t="s">
        <v>801</v>
      </c>
      <c r="L270" t="s">
        <v>1056</v>
      </c>
      <c r="M270" t="s">
        <v>30</v>
      </c>
      <c r="N270" t="s">
        <v>21</v>
      </c>
      <c r="O270">
        <v>171.35</v>
      </c>
      <c r="P270" s="5">
        <v>342.7</v>
      </c>
      <c r="Q270" s="10">
        <v>0</v>
      </c>
      <c r="R270" s="19">
        <f>Table13[[#This Row],[Units]]*Table13[[#This Row],[UnitPrice]]*(1-Table13[[#This Row],[Discount Rate]])</f>
        <v>342.7</v>
      </c>
      <c r="S270" t="s">
        <v>1058</v>
      </c>
      <c r="T270">
        <f>IF(Table13[[#This Row],[Returned]]="N",0,1)</f>
        <v>0</v>
      </c>
    </row>
    <row r="271" spans="1:20" x14ac:dyDescent="0.35">
      <c r="A271">
        <v>20269</v>
      </c>
      <c r="B271" s="11">
        <v>45355</v>
      </c>
      <c r="C271" t="s">
        <v>652</v>
      </c>
      <c r="D271" t="s">
        <v>121</v>
      </c>
      <c r="E271" t="s">
        <v>50</v>
      </c>
      <c r="F271" t="s">
        <v>17</v>
      </c>
      <c r="G271" t="s">
        <v>18</v>
      </c>
      <c r="H271" s="18">
        <v>12</v>
      </c>
      <c r="I271" s="9">
        <v>418.19</v>
      </c>
      <c r="J271" s="9">
        <v>4767.3599999999997</v>
      </c>
      <c r="K271" s="5" t="s">
        <v>803</v>
      </c>
      <c r="L271" t="s">
        <v>104</v>
      </c>
      <c r="M271" t="s">
        <v>30</v>
      </c>
      <c r="N271" t="s">
        <v>151</v>
      </c>
      <c r="O271">
        <v>418.19</v>
      </c>
      <c r="P271" s="5">
        <v>4767.366</v>
      </c>
      <c r="Q271" s="10">
        <v>0.05</v>
      </c>
      <c r="R271" s="19">
        <f>Table13[[#This Row],[Units]]*Table13[[#This Row],[UnitPrice]]*(1-Table13[[#This Row],[Discount Rate]])</f>
        <v>4767.366</v>
      </c>
      <c r="S271" t="s">
        <v>1058</v>
      </c>
      <c r="T271">
        <f>IF(Table13[[#This Row],[Returned]]="N",0,1)</f>
        <v>1</v>
      </c>
    </row>
    <row r="272" spans="1:20" x14ac:dyDescent="0.35">
      <c r="A272">
        <v>20270</v>
      </c>
      <c r="B272" s="11">
        <v>45311</v>
      </c>
      <c r="C272" t="s">
        <v>100</v>
      </c>
      <c r="D272" t="s">
        <v>141</v>
      </c>
      <c r="E272" t="s">
        <v>85</v>
      </c>
      <c r="F272" t="s">
        <v>17</v>
      </c>
      <c r="G272" t="s">
        <v>43</v>
      </c>
      <c r="H272" s="18">
        <v>5</v>
      </c>
      <c r="I272" s="9">
        <v>65.17</v>
      </c>
      <c r="J272" s="9">
        <v>293.27</v>
      </c>
      <c r="K272" s="5" t="s">
        <v>805</v>
      </c>
      <c r="L272" t="s">
        <v>72</v>
      </c>
      <c r="M272" t="s">
        <v>30</v>
      </c>
      <c r="N272" t="s">
        <v>21</v>
      </c>
      <c r="O272">
        <v>65.17</v>
      </c>
      <c r="P272" s="5">
        <v>293.26500000000004</v>
      </c>
      <c r="Q272" s="10">
        <v>0.1</v>
      </c>
      <c r="R272" s="19">
        <f>Table13[[#This Row],[Units]]*Table13[[#This Row],[UnitPrice]]*(1-Table13[[#This Row],[Discount Rate]])</f>
        <v>293.26500000000004</v>
      </c>
      <c r="S272" t="s">
        <v>1058</v>
      </c>
      <c r="T272">
        <f>IF(Table13[[#This Row],[Returned]]="N",0,1)</f>
        <v>0</v>
      </c>
    </row>
    <row r="273" spans="1:20" x14ac:dyDescent="0.35">
      <c r="A273">
        <v>20271</v>
      </c>
      <c r="B273" s="11">
        <v>45309</v>
      </c>
      <c r="C273" t="s">
        <v>96</v>
      </c>
      <c r="D273" t="s">
        <v>49</v>
      </c>
      <c r="E273" t="s">
        <v>56</v>
      </c>
      <c r="F273" t="s">
        <v>17</v>
      </c>
      <c r="G273" t="s">
        <v>76</v>
      </c>
      <c r="H273" s="18">
        <v>18</v>
      </c>
      <c r="I273" s="9">
        <v>765.35</v>
      </c>
      <c r="J273" s="9">
        <v>13776</v>
      </c>
      <c r="K273" s="5" t="s">
        <v>808</v>
      </c>
      <c r="L273" t="s">
        <v>1056</v>
      </c>
      <c r="M273" t="s">
        <v>60</v>
      </c>
      <c r="N273" t="s">
        <v>21</v>
      </c>
      <c r="O273">
        <v>765.35</v>
      </c>
      <c r="P273" s="5">
        <v>13776.300000000001</v>
      </c>
      <c r="Q273" s="10">
        <v>0</v>
      </c>
      <c r="R273" s="19">
        <f>Table13[[#This Row],[Units]]*Table13[[#This Row],[UnitPrice]]*(1-Table13[[#This Row],[Discount Rate]])</f>
        <v>13776.300000000001</v>
      </c>
      <c r="S273" t="s">
        <v>1058</v>
      </c>
      <c r="T273">
        <f>IF(Table13[[#This Row],[Returned]]="N",0,1)</f>
        <v>0</v>
      </c>
    </row>
    <row r="274" spans="1:20" x14ac:dyDescent="0.35">
      <c r="A274">
        <v>20272</v>
      </c>
      <c r="B274" s="11">
        <v>45361</v>
      </c>
      <c r="C274" t="s">
        <v>23</v>
      </c>
      <c r="D274" t="s">
        <v>177</v>
      </c>
      <c r="E274" t="s">
        <v>107</v>
      </c>
      <c r="F274" t="s">
        <v>26</v>
      </c>
      <c r="G274" t="s">
        <v>18</v>
      </c>
      <c r="H274" s="18">
        <v>24</v>
      </c>
      <c r="I274" s="9">
        <v>301.83999999999997</v>
      </c>
      <c r="J274" s="9">
        <v>7244.22</v>
      </c>
      <c r="K274" s="5" t="s">
        <v>811</v>
      </c>
      <c r="L274" t="s">
        <v>1056</v>
      </c>
      <c r="M274" t="s">
        <v>60</v>
      </c>
      <c r="N274" t="s">
        <v>21</v>
      </c>
      <c r="O274">
        <v>301.83999999999997</v>
      </c>
      <c r="P274" s="5">
        <v>7244.16</v>
      </c>
      <c r="Q274" s="10">
        <v>0</v>
      </c>
      <c r="R274" s="19">
        <f>Table13[[#This Row],[Units]]*Table13[[#This Row],[UnitPrice]]*(1-Table13[[#This Row],[Discount Rate]])</f>
        <v>7244.16</v>
      </c>
      <c r="S274" t="s">
        <v>1058</v>
      </c>
      <c r="T274">
        <f>IF(Table13[[#This Row],[Returned]]="N",0,1)</f>
        <v>0</v>
      </c>
    </row>
    <row r="275" spans="1:20" x14ac:dyDescent="0.35">
      <c r="A275">
        <v>20273</v>
      </c>
      <c r="B275" s="11">
        <v>45315</v>
      </c>
      <c r="C275" t="s">
        <v>23</v>
      </c>
      <c r="D275" t="s">
        <v>15</v>
      </c>
      <c r="E275" t="s">
        <v>56</v>
      </c>
      <c r="F275" t="s">
        <v>17</v>
      </c>
      <c r="G275" t="s">
        <v>35</v>
      </c>
      <c r="H275" s="18">
        <v>20</v>
      </c>
      <c r="I275" s="9">
        <v>868.17</v>
      </c>
      <c r="J275" s="9">
        <v>15626.98</v>
      </c>
      <c r="K275" s="5" t="s">
        <v>813</v>
      </c>
      <c r="L275" t="s">
        <v>72</v>
      </c>
      <c r="M275" t="s">
        <v>60</v>
      </c>
      <c r="N275" t="s">
        <v>21</v>
      </c>
      <c r="O275">
        <v>868.17</v>
      </c>
      <c r="P275" s="5">
        <v>15627.059999999998</v>
      </c>
      <c r="Q275" s="10">
        <v>0.1</v>
      </c>
      <c r="R275" s="19">
        <f>Table13[[#This Row],[Units]]*Table13[[#This Row],[UnitPrice]]*(1-Table13[[#This Row],[Discount Rate]])</f>
        <v>15627.059999999998</v>
      </c>
      <c r="S275" t="s">
        <v>1058</v>
      </c>
      <c r="T275">
        <f>IF(Table13[[#This Row],[Returned]]="N",0,1)</f>
        <v>0</v>
      </c>
    </row>
    <row r="276" spans="1:20" x14ac:dyDescent="0.35">
      <c r="A276">
        <v>20274</v>
      </c>
      <c r="B276" s="11">
        <v>45344</v>
      </c>
      <c r="C276" t="s">
        <v>23</v>
      </c>
      <c r="D276" t="s">
        <v>15</v>
      </c>
      <c r="E276" t="s">
        <v>56</v>
      </c>
      <c r="F276" t="s">
        <v>17</v>
      </c>
      <c r="G276" t="s">
        <v>27</v>
      </c>
      <c r="H276" s="18">
        <v>16</v>
      </c>
      <c r="I276" s="9">
        <v>916.81</v>
      </c>
      <c r="J276" s="9">
        <v>13202.09</v>
      </c>
      <c r="K276" s="5" t="s">
        <v>815</v>
      </c>
      <c r="L276" t="s">
        <v>72</v>
      </c>
      <c r="M276" t="s">
        <v>60</v>
      </c>
      <c r="N276" t="s">
        <v>21</v>
      </c>
      <c r="O276">
        <v>916.81</v>
      </c>
      <c r="P276" s="5">
        <v>13202.064</v>
      </c>
      <c r="Q276" s="10">
        <v>0.1</v>
      </c>
      <c r="R276" s="19">
        <f>Table13[[#This Row],[Units]]*Table13[[#This Row],[UnitPrice]]*(1-Table13[[#This Row],[Discount Rate]])</f>
        <v>13202.064</v>
      </c>
      <c r="S276" t="s">
        <v>1058</v>
      </c>
      <c r="T276">
        <f>IF(Table13[[#This Row],[Returned]]="N",0,1)</f>
        <v>0</v>
      </c>
    </row>
    <row r="277" spans="1:20" x14ac:dyDescent="0.35">
      <c r="A277">
        <v>20275</v>
      </c>
      <c r="B277" s="11">
        <v>45371</v>
      </c>
      <c r="C277" t="s">
        <v>23</v>
      </c>
      <c r="D277" t="s">
        <v>75</v>
      </c>
      <c r="E277" t="s">
        <v>16</v>
      </c>
      <c r="F277" t="s">
        <v>17</v>
      </c>
      <c r="G277" t="s">
        <v>76</v>
      </c>
      <c r="H277" s="18">
        <v>16</v>
      </c>
      <c r="I277" s="9">
        <v>34.619999999999997</v>
      </c>
      <c r="J277" s="9">
        <v>499</v>
      </c>
      <c r="K277" s="5" t="s">
        <v>818</v>
      </c>
      <c r="L277" t="s">
        <v>72</v>
      </c>
      <c r="M277" t="s">
        <v>60</v>
      </c>
      <c r="N277" t="s">
        <v>21</v>
      </c>
      <c r="O277">
        <v>34.619999999999997</v>
      </c>
      <c r="P277" s="5">
        <v>498.52799999999996</v>
      </c>
      <c r="Q277" s="10">
        <v>0.1</v>
      </c>
      <c r="R277" s="19">
        <f>Table13[[#This Row],[Units]]*Table13[[#This Row],[UnitPrice]]*(1-Table13[[#This Row],[Discount Rate]])</f>
        <v>498.52799999999996</v>
      </c>
      <c r="S277" t="s">
        <v>1058</v>
      </c>
      <c r="T277">
        <f>IF(Table13[[#This Row],[Returned]]="N",0,1)</f>
        <v>0</v>
      </c>
    </row>
    <row r="278" spans="1:20" x14ac:dyDescent="0.35">
      <c r="A278">
        <v>20276</v>
      </c>
      <c r="B278" s="11">
        <v>45373</v>
      </c>
      <c r="C278" t="s">
        <v>23</v>
      </c>
      <c r="D278" t="s">
        <v>177</v>
      </c>
      <c r="E278" t="s">
        <v>25</v>
      </c>
      <c r="F278" t="s">
        <v>26</v>
      </c>
      <c r="G278" t="s">
        <v>76</v>
      </c>
      <c r="H278" s="18">
        <v>17</v>
      </c>
      <c r="I278" s="9">
        <v>125.74</v>
      </c>
      <c r="J278" s="9">
        <v>1923.83</v>
      </c>
      <c r="K278" s="5" t="s">
        <v>820</v>
      </c>
      <c r="L278" t="s">
        <v>72</v>
      </c>
      <c r="M278" t="s">
        <v>60</v>
      </c>
      <c r="N278" t="s">
        <v>21</v>
      </c>
      <c r="O278">
        <v>125.74</v>
      </c>
      <c r="P278" s="5">
        <v>1923.8219999999999</v>
      </c>
      <c r="Q278" s="10">
        <v>0.1</v>
      </c>
      <c r="R278" s="19">
        <f>Table13[[#This Row],[Units]]*Table13[[#This Row],[UnitPrice]]*(1-Table13[[#This Row],[Discount Rate]])</f>
        <v>1923.8219999999999</v>
      </c>
      <c r="S278" t="s">
        <v>1058</v>
      </c>
      <c r="T278">
        <f>IF(Table13[[#This Row],[Returned]]="N",0,1)</f>
        <v>0</v>
      </c>
    </row>
    <row r="279" spans="1:20" x14ac:dyDescent="0.35">
      <c r="A279">
        <v>20277</v>
      </c>
      <c r="B279" s="11">
        <v>45377</v>
      </c>
      <c r="C279" t="s">
        <v>100</v>
      </c>
      <c r="D279" t="s">
        <v>68</v>
      </c>
      <c r="E279" t="s">
        <v>101</v>
      </c>
      <c r="F279" t="s">
        <v>17</v>
      </c>
      <c r="G279" t="s">
        <v>27</v>
      </c>
      <c r="H279" s="18">
        <v>5</v>
      </c>
      <c r="I279" s="9">
        <v>126.06</v>
      </c>
      <c r="J279" s="9">
        <v>598.77</v>
      </c>
      <c r="K279" s="5" t="s">
        <v>822</v>
      </c>
      <c r="L279" t="s">
        <v>104</v>
      </c>
      <c r="M279" t="s">
        <v>30</v>
      </c>
      <c r="N279" t="s">
        <v>21</v>
      </c>
      <c r="O279">
        <v>126.06</v>
      </c>
      <c r="P279" s="5">
        <v>598.78499999999997</v>
      </c>
      <c r="Q279" s="10">
        <v>0.05</v>
      </c>
      <c r="R279" s="19">
        <f>Table13[[#This Row],[Units]]*Table13[[#This Row],[UnitPrice]]*(1-Table13[[#This Row],[Discount Rate]])</f>
        <v>598.78499999999997</v>
      </c>
      <c r="S279" t="s">
        <v>1058</v>
      </c>
      <c r="T279">
        <f>IF(Table13[[#This Row],[Returned]]="N",0,1)</f>
        <v>0</v>
      </c>
    </row>
    <row r="280" spans="1:20" x14ac:dyDescent="0.35">
      <c r="A280">
        <v>20278</v>
      </c>
      <c r="B280" s="11">
        <v>45382</v>
      </c>
      <c r="C280" t="s">
        <v>100</v>
      </c>
      <c r="D280" t="s">
        <v>33</v>
      </c>
      <c r="E280" t="s">
        <v>56</v>
      </c>
      <c r="F280" t="s">
        <v>17</v>
      </c>
      <c r="G280" t="s">
        <v>57</v>
      </c>
      <c r="H280" s="18">
        <v>10</v>
      </c>
      <c r="I280" s="9">
        <v>891.33</v>
      </c>
      <c r="J280" s="9">
        <v>8022.01</v>
      </c>
      <c r="K280" s="5" t="s">
        <v>824</v>
      </c>
      <c r="L280" t="s">
        <v>72</v>
      </c>
      <c r="M280" t="s">
        <v>60</v>
      </c>
      <c r="N280" t="s">
        <v>21</v>
      </c>
      <c r="O280">
        <v>891.33</v>
      </c>
      <c r="P280" s="5">
        <v>8021.9700000000012</v>
      </c>
      <c r="Q280" s="10">
        <v>0.1</v>
      </c>
      <c r="R280" s="19">
        <f>Table13[[#This Row],[Units]]*Table13[[#This Row],[UnitPrice]]*(1-Table13[[#This Row],[Discount Rate]])</f>
        <v>8021.9700000000012</v>
      </c>
      <c r="S280" t="s">
        <v>1058</v>
      </c>
      <c r="T280">
        <f>IF(Table13[[#This Row],[Returned]]="N",0,1)</f>
        <v>0</v>
      </c>
    </row>
    <row r="281" spans="1:20" x14ac:dyDescent="0.35">
      <c r="A281">
        <v>20279</v>
      </c>
      <c r="B281" s="11">
        <v>45360</v>
      </c>
      <c r="C281" t="s">
        <v>23</v>
      </c>
      <c r="D281" t="s">
        <v>177</v>
      </c>
      <c r="E281" t="s">
        <v>42</v>
      </c>
      <c r="F281" t="s">
        <v>17</v>
      </c>
      <c r="G281" t="s">
        <v>18</v>
      </c>
      <c r="H281" s="18">
        <v>19</v>
      </c>
      <c r="I281" s="9">
        <v>204.12</v>
      </c>
      <c r="J281" s="9">
        <v>3490.43</v>
      </c>
      <c r="K281" s="5" t="s">
        <v>827</v>
      </c>
      <c r="L281" t="s">
        <v>72</v>
      </c>
      <c r="M281" t="s">
        <v>30</v>
      </c>
      <c r="N281" t="s">
        <v>21</v>
      </c>
      <c r="O281">
        <v>204.12</v>
      </c>
      <c r="P281" s="5">
        <v>3490.4520000000002</v>
      </c>
      <c r="Q281" s="10">
        <v>0.1</v>
      </c>
      <c r="R281" s="19">
        <f>Table13[[#This Row],[Units]]*Table13[[#This Row],[UnitPrice]]*(1-Table13[[#This Row],[Discount Rate]])</f>
        <v>3490.4520000000002</v>
      </c>
      <c r="S281" t="s">
        <v>1058</v>
      </c>
      <c r="T281">
        <f>IF(Table13[[#This Row],[Returned]]="N",0,1)</f>
        <v>0</v>
      </c>
    </row>
    <row r="282" spans="1:20" x14ac:dyDescent="0.35">
      <c r="A282">
        <v>20280</v>
      </c>
      <c r="B282" s="11">
        <v>45320</v>
      </c>
      <c r="C282" t="s">
        <v>652</v>
      </c>
      <c r="D282" t="s">
        <v>41</v>
      </c>
      <c r="E282" t="s">
        <v>107</v>
      </c>
      <c r="F282" t="s">
        <v>26</v>
      </c>
      <c r="G282" t="s">
        <v>43</v>
      </c>
      <c r="H282" s="18">
        <v>4</v>
      </c>
      <c r="I282" s="9">
        <v>278.13</v>
      </c>
      <c r="J282" s="9">
        <v>1001.26</v>
      </c>
      <c r="K282" s="5" t="s">
        <v>829</v>
      </c>
      <c r="L282" t="s">
        <v>72</v>
      </c>
      <c r="M282" t="s">
        <v>30</v>
      </c>
      <c r="N282" t="s">
        <v>21</v>
      </c>
      <c r="O282">
        <v>278.13</v>
      </c>
      <c r="P282" s="5">
        <v>1001.268</v>
      </c>
      <c r="Q282" s="10">
        <v>0.1</v>
      </c>
      <c r="R282" s="19">
        <f>Table13[[#This Row],[Units]]*Table13[[#This Row],[UnitPrice]]*(1-Table13[[#This Row],[Discount Rate]])</f>
        <v>1001.268</v>
      </c>
      <c r="S282" t="s">
        <v>1058</v>
      </c>
      <c r="T282">
        <f>IF(Table13[[#This Row],[Returned]]="N",0,1)</f>
        <v>0</v>
      </c>
    </row>
    <row r="283" spans="1:20" x14ac:dyDescent="0.35">
      <c r="A283">
        <v>20281</v>
      </c>
      <c r="B283" s="11">
        <v>45366</v>
      </c>
      <c r="C283" t="s">
        <v>23</v>
      </c>
      <c r="D283" t="s">
        <v>75</v>
      </c>
      <c r="E283" t="s">
        <v>69</v>
      </c>
      <c r="F283" t="s">
        <v>26</v>
      </c>
      <c r="G283" t="s">
        <v>57</v>
      </c>
      <c r="H283" s="18">
        <v>11</v>
      </c>
      <c r="I283" s="9">
        <v>33.229999999999997</v>
      </c>
      <c r="J283" s="9">
        <v>366</v>
      </c>
      <c r="K283" s="5" t="s">
        <v>832</v>
      </c>
      <c r="L283" t="s">
        <v>1056</v>
      </c>
      <c r="M283" t="s">
        <v>30</v>
      </c>
      <c r="N283" t="s">
        <v>21</v>
      </c>
      <c r="O283">
        <v>33.229999999999997</v>
      </c>
      <c r="P283" s="5">
        <v>365.53</v>
      </c>
      <c r="Q283" s="10">
        <v>0</v>
      </c>
      <c r="R283" s="19">
        <f>Table13[[#This Row],[Units]]*Table13[[#This Row],[UnitPrice]]*(1-Table13[[#This Row],[Discount Rate]])</f>
        <v>365.53</v>
      </c>
      <c r="S283" t="s">
        <v>1058</v>
      </c>
      <c r="T283">
        <f>IF(Table13[[#This Row],[Returned]]="N",0,1)</f>
        <v>0</v>
      </c>
    </row>
    <row r="284" spans="1:20" x14ac:dyDescent="0.35">
      <c r="A284">
        <v>20282</v>
      </c>
      <c r="B284" s="11">
        <v>45341</v>
      </c>
      <c r="C284" t="s">
        <v>96</v>
      </c>
      <c r="D284" t="s">
        <v>314</v>
      </c>
      <c r="E284" t="s">
        <v>56</v>
      </c>
      <c r="F284" t="s">
        <v>17</v>
      </c>
      <c r="G284" t="s">
        <v>27</v>
      </c>
      <c r="H284" s="18">
        <v>10</v>
      </c>
      <c r="I284" s="9">
        <v>838.41</v>
      </c>
      <c r="J284" s="9">
        <v>8384.1299999999992</v>
      </c>
      <c r="K284" s="5" t="s">
        <v>835</v>
      </c>
      <c r="L284" t="s">
        <v>1056</v>
      </c>
      <c r="M284" t="s">
        <v>60</v>
      </c>
      <c r="N284" t="s">
        <v>21</v>
      </c>
      <c r="O284">
        <v>838.41</v>
      </c>
      <c r="P284" s="5">
        <v>8384.1</v>
      </c>
      <c r="Q284" s="10">
        <v>0</v>
      </c>
      <c r="R284" s="19">
        <f>Table13[[#This Row],[Units]]*Table13[[#This Row],[UnitPrice]]*(1-Table13[[#This Row],[Discount Rate]])</f>
        <v>8384.1</v>
      </c>
      <c r="S284" t="s">
        <v>1058</v>
      </c>
      <c r="T284">
        <f>IF(Table13[[#This Row],[Returned]]="N",0,1)</f>
        <v>0</v>
      </c>
    </row>
    <row r="285" spans="1:20" x14ac:dyDescent="0.35">
      <c r="A285">
        <v>20283</v>
      </c>
      <c r="B285" s="11">
        <v>45308</v>
      </c>
      <c r="C285" t="s">
        <v>84</v>
      </c>
      <c r="D285" t="s">
        <v>170</v>
      </c>
      <c r="E285" t="s">
        <v>85</v>
      </c>
      <c r="F285" t="s">
        <v>17</v>
      </c>
      <c r="G285" t="s">
        <v>76</v>
      </c>
      <c r="H285" s="18">
        <v>25</v>
      </c>
      <c r="I285" s="9">
        <v>59.38</v>
      </c>
      <c r="J285" s="9">
        <v>1484.45</v>
      </c>
      <c r="K285" s="5" t="s">
        <v>838</v>
      </c>
      <c r="L285" t="s">
        <v>1056</v>
      </c>
      <c r="M285" t="s">
        <v>60</v>
      </c>
      <c r="N285" t="s">
        <v>21</v>
      </c>
      <c r="O285">
        <v>59.38</v>
      </c>
      <c r="P285" s="5">
        <v>1484.5</v>
      </c>
      <c r="Q285" s="10">
        <v>0</v>
      </c>
      <c r="R285" s="19">
        <f>Table13[[#This Row],[Units]]*Table13[[#This Row],[UnitPrice]]*(1-Table13[[#This Row],[Discount Rate]])</f>
        <v>1484.5</v>
      </c>
      <c r="S285" t="s">
        <v>1058</v>
      </c>
      <c r="T285">
        <f>IF(Table13[[#This Row],[Returned]]="N",0,1)</f>
        <v>0</v>
      </c>
    </row>
    <row r="286" spans="1:20" x14ac:dyDescent="0.35">
      <c r="A286">
        <v>20284</v>
      </c>
      <c r="B286" s="11">
        <v>45335</v>
      </c>
      <c r="C286" t="s">
        <v>225</v>
      </c>
      <c r="D286" t="s">
        <v>89</v>
      </c>
      <c r="E286" t="s">
        <v>69</v>
      </c>
      <c r="F286" t="s">
        <v>26</v>
      </c>
      <c r="G286" t="s">
        <v>43</v>
      </c>
      <c r="H286" s="18">
        <v>12</v>
      </c>
      <c r="I286" s="9">
        <v>35.119999999999997</v>
      </c>
      <c r="J286" s="9">
        <v>421.49</v>
      </c>
      <c r="K286" s="5" t="s">
        <v>841</v>
      </c>
      <c r="L286" t="s">
        <v>1056</v>
      </c>
      <c r="M286" t="s">
        <v>30</v>
      </c>
      <c r="N286" t="s">
        <v>21</v>
      </c>
      <c r="O286">
        <v>35.119999999999997</v>
      </c>
      <c r="P286" s="5">
        <v>421.43999999999994</v>
      </c>
      <c r="Q286" s="10">
        <v>0</v>
      </c>
      <c r="R286" s="19">
        <f>Table13[[#This Row],[Units]]*Table13[[#This Row],[UnitPrice]]*(1-Table13[[#This Row],[Discount Rate]])</f>
        <v>421.43999999999994</v>
      </c>
      <c r="S286" t="s">
        <v>1058</v>
      </c>
      <c r="T286">
        <f>IF(Table13[[#This Row],[Returned]]="N",0,1)</f>
        <v>0</v>
      </c>
    </row>
    <row r="287" spans="1:20" x14ac:dyDescent="0.35">
      <c r="A287">
        <v>20285</v>
      </c>
      <c r="B287" s="11">
        <v>45318</v>
      </c>
      <c r="C287" t="s">
        <v>100</v>
      </c>
      <c r="D287" t="s">
        <v>33</v>
      </c>
      <c r="E287" t="s">
        <v>166</v>
      </c>
      <c r="F287" t="s">
        <v>17</v>
      </c>
      <c r="G287" t="s">
        <v>57</v>
      </c>
      <c r="H287" s="18">
        <v>15</v>
      </c>
      <c r="I287" s="9">
        <v>27.05</v>
      </c>
      <c r="J287" s="9">
        <v>405.79</v>
      </c>
      <c r="K287" s="5" t="s">
        <v>843</v>
      </c>
      <c r="L287" t="s">
        <v>1056</v>
      </c>
      <c r="M287" t="s">
        <v>30</v>
      </c>
      <c r="N287" t="s">
        <v>21</v>
      </c>
      <c r="O287">
        <v>27.05</v>
      </c>
      <c r="P287" s="5">
        <v>405.75</v>
      </c>
      <c r="Q287" s="10">
        <v>0</v>
      </c>
      <c r="R287" s="19">
        <f>Table13[[#This Row],[Units]]*Table13[[#This Row],[UnitPrice]]*(1-Table13[[#This Row],[Discount Rate]])</f>
        <v>405.75</v>
      </c>
      <c r="S287" t="s">
        <v>1058</v>
      </c>
      <c r="T287">
        <f>IF(Table13[[#This Row],[Returned]]="N",0,1)</f>
        <v>0</v>
      </c>
    </row>
    <row r="288" spans="1:20" x14ac:dyDescent="0.35">
      <c r="A288">
        <v>20286</v>
      </c>
      <c r="B288" s="11">
        <v>45306</v>
      </c>
      <c r="C288" t="s">
        <v>23</v>
      </c>
      <c r="D288" t="s">
        <v>15</v>
      </c>
      <c r="E288" t="s">
        <v>166</v>
      </c>
      <c r="F288" t="s">
        <v>17</v>
      </c>
      <c r="G288" t="s">
        <v>57</v>
      </c>
      <c r="H288" s="18">
        <v>12</v>
      </c>
      <c r="I288" s="9">
        <v>23.5</v>
      </c>
      <c r="J288" s="9">
        <v>253.75</v>
      </c>
      <c r="K288" s="5" t="s">
        <v>846</v>
      </c>
      <c r="L288" t="s">
        <v>72</v>
      </c>
      <c r="M288" t="s">
        <v>60</v>
      </c>
      <c r="N288" t="s">
        <v>21</v>
      </c>
      <c r="O288">
        <v>23.5</v>
      </c>
      <c r="P288" s="5">
        <v>253.8</v>
      </c>
      <c r="Q288" s="10">
        <v>0.1</v>
      </c>
      <c r="R288" s="19">
        <f>Table13[[#This Row],[Units]]*Table13[[#This Row],[UnitPrice]]*(1-Table13[[#This Row],[Discount Rate]])</f>
        <v>253.8</v>
      </c>
      <c r="S288" t="s">
        <v>1058</v>
      </c>
      <c r="T288">
        <f>IF(Table13[[#This Row],[Returned]]="N",0,1)</f>
        <v>0</v>
      </c>
    </row>
    <row r="289" spans="1:20" x14ac:dyDescent="0.35">
      <c r="A289">
        <v>20287</v>
      </c>
      <c r="B289" s="11">
        <v>45327</v>
      </c>
      <c r="C289" t="s">
        <v>652</v>
      </c>
      <c r="D289" t="s">
        <v>121</v>
      </c>
      <c r="E289" t="s">
        <v>50</v>
      </c>
      <c r="F289" t="s">
        <v>17</v>
      </c>
      <c r="G289" t="s">
        <v>27</v>
      </c>
      <c r="H289" s="18">
        <v>15</v>
      </c>
      <c r="I289" s="9">
        <v>467.49</v>
      </c>
      <c r="J289" s="9">
        <v>7012.38</v>
      </c>
      <c r="K289" s="5" t="s">
        <v>849</v>
      </c>
      <c r="L289" t="s">
        <v>1056</v>
      </c>
      <c r="M289" t="s">
        <v>60</v>
      </c>
      <c r="N289" t="s">
        <v>21</v>
      </c>
      <c r="O289">
        <v>467.49</v>
      </c>
      <c r="P289" s="5">
        <v>7012.35</v>
      </c>
      <c r="Q289" s="10">
        <v>0</v>
      </c>
      <c r="R289" s="19">
        <f>Table13[[#This Row],[Units]]*Table13[[#This Row],[UnitPrice]]*(1-Table13[[#This Row],[Discount Rate]])</f>
        <v>7012.35</v>
      </c>
      <c r="S289" t="s">
        <v>1058</v>
      </c>
      <c r="T289">
        <f>IF(Table13[[#This Row],[Returned]]="N",0,1)</f>
        <v>0</v>
      </c>
    </row>
    <row r="290" spans="1:20" x14ac:dyDescent="0.35">
      <c r="A290">
        <v>20288</v>
      </c>
      <c r="B290" s="11">
        <v>45317</v>
      </c>
      <c r="C290" t="s">
        <v>23</v>
      </c>
      <c r="D290" t="s">
        <v>75</v>
      </c>
      <c r="E290" t="s">
        <v>42</v>
      </c>
      <c r="F290" t="s">
        <v>17</v>
      </c>
      <c r="G290" t="s">
        <v>35</v>
      </c>
      <c r="H290" s="18">
        <v>19</v>
      </c>
      <c r="I290" s="9">
        <v>198.57</v>
      </c>
      <c r="J290" s="9">
        <v>3772.84</v>
      </c>
      <c r="K290" s="5" t="s">
        <v>851</v>
      </c>
      <c r="L290" t="s">
        <v>1056</v>
      </c>
      <c r="M290" t="s">
        <v>60</v>
      </c>
      <c r="N290" t="s">
        <v>21</v>
      </c>
      <c r="O290">
        <v>198.57</v>
      </c>
      <c r="P290" s="5">
        <v>3772.83</v>
      </c>
      <c r="Q290" s="10">
        <v>0</v>
      </c>
      <c r="R290" s="19">
        <f>Table13[[#This Row],[Units]]*Table13[[#This Row],[UnitPrice]]*(1-Table13[[#This Row],[Discount Rate]])</f>
        <v>3772.83</v>
      </c>
      <c r="S290" t="s">
        <v>1058</v>
      </c>
      <c r="T290">
        <f>IF(Table13[[#This Row],[Returned]]="N",0,1)</f>
        <v>0</v>
      </c>
    </row>
    <row r="291" spans="1:20" x14ac:dyDescent="0.35">
      <c r="A291">
        <v>20289</v>
      </c>
      <c r="B291" s="11">
        <v>45374</v>
      </c>
      <c r="C291" t="s">
        <v>225</v>
      </c>
      <c r="D291" t="s">
        <v>113</v>
      </c>
      <c r="E291" t="s">
        <v>85</v>
      </c>
      <c r="F291" t="s">
        <v>17</v>
      </c>
      <c r="G291" t="s">
        <v>35</v>
      </c>
      <c r="H291" s="18">
        <v>14</v>
      </c>
      <c r="I291" s="9">
        <v>61.49</v>
      </c>
      <c r="J291" s="9">
        <v>860.89</v>
      </c>
      <c r="K291" s="5" t="s">
        <v>853</v>
      </c>
      <c r="L291" t="s">
        <v>1056</v>
      </c>
      <c r="M291" t="s">
        <v>60</v>
      </c>
      <c r="N291" t="s">
        <v>21</v>
      </c>
      <c r="O291">
        <v>61.49</v>
      </c>
      <c r="P291" s="5">
        <v>860.86</v>
      </c>
      <c r="Q291" s="10">
        <v>0</v>
      </c>
      <c r="R291" s="19">
        <f>Table13[[#This Row],[Units]]*Table13[[#This Row],[UnitPrice]]*(1-Table13[[#This Row],[Discount Rate]])</f>
        <v>860.86</v>
      </c>
      <c r="S291" t="s">
        <v>1058</v>
      </c>
      <c r="T291">
        <f>IF(Table13[[#This Row],[Returned]]="N",0,1)</f>
        <v>0</v>
      </c>
    </row>
    <row r="292" spans="1:20" x14ac:dyDescent="0.35">
      <c r="A292">
        <v>20290</v>
      </c>
      <c r="B292" s="11">
        <v>45293</v>
      </c>
      <c r="C292" t="s">
        <v>652</v>
      </c>
      <c r="D292" t="s">
        <v>121</v>
      </c>
      <c r="E292" t="s">
        <v>50</v>
      </c>
      <c r="F292" t="s">
        <v>17</v>
      </c>
      <c r="G292" t="s">
        <v>27</v>
      </c>
      <c r="H292" s="18">
        <v>18</v>
      </c>
      <c r="I292" s="9">
        <v>465.76</v>
      </c>
      <c r="J292" s="9">
        <v>8384</v>
      </c>
      <c r="K292" s="5" t="s">
        <v>856</v>
      </c>
      <c r="L292" t="s">
        <v>1056</v>
      </c>
      <c r="M292" t="s">
        <v>60</v>
      </c>
      <c r="N292" t="s">
        <v>21</v>
      </c>
      <c r="O292">
        <v>465.76</v>
      </c>
      <c r="P292" s="5">
        <v>8383.68</v>
      </c>
      <c r="Q292" s="10">
        <v>0</v>
      </c>
      <c r="R292" s="19">
        <f>Table13[[#This Row],[Units]]*Table13[[#This Row],[UnitPrice]]*(1-Table13[[#This Row],[Discount Rate]])</f>
        <v>8383.68</v>
      </c>
      <c r="S292" t="s">
        <v>1058</v>
      </c>
      <c r="T292">
        <f>IF(Table13[[#This Row],[Returned]]="N",0,1)</f>
        <v>0</v>
      </c>
    </row>
    <row r="293" spans="1:20" x14ac:dyDescent="0.35">
      <c r="A293">
        <v>20291</v>
      </c>
      <c r="B293" s="11">
        <v>45381</v>
      </c>
      <c r="C293" t="s">
        <v>96</v>
      </c>
      <c r="D293" t="s">
        <v>49</v>
      </c>
      <c r="E293" t="s">
        <v>34</v>
      </c>
      <c r="F293" t="s">
        <v>26</v>
      </c>
      <c r="G293" t="s">
        <v>76</v>
      </c>
      <c r="H293" s="18">
        <v>5</v>
      </c>
      <c r="I293" s="9">
        <v>397.12</v>
      </c>
      <c r="J293" s="9">
        <v>1985.58</v>
      </c>
      <c r="K293" s="5" t="s">
        <v>858</v>
      </c>
      <c r="L293" t="s">
        <v>1056</v>
      </c>
      <c r="M293" t="s">
        <v>30</v>
      </c>
      <c r="N293" t="s">
        <v>21</v>
      </c>
      <c r="O293">
        <v>397.12</v>
      </c>
      <c r="P293" s="5">
        <v>1985.6</v>
      </c>
      <c r="Q293" s="10">
        <v>0</v>
      </c>
      <c r="R293" s="19">
        <f>Table13[[#This Row],[Units]]*Table13[[#This Row],[UnitPrice]]*(1-Table13[[#This Row],[Discount Rate]])</f>
        <v>1985.6</v>
      </c>
      <c r="S293" t="s">
        <v>1058</v>
      </c>
      <c r="T293">
        <f>IF(Table13[[#This Row],[Returned]]="N",0,1)</f>
        <v>0</v>
      </c>
    </row>
    <row r="294" spans="1:20" x14ac:dyDescent="0.35">
      <c r="A294">
        <v>20292</v>
      </c>
      <c r="B294" s="11">
        <v>45369</v>
      </c>
      <c r="C294" t="s">
        <v>225</v>
      </c>
      <c r="D294" t="s">
        <v>113</v>
      </c>
      <c r="E294" t="s">
        <v>142</v>
      </c>
      <c r="F294" t="s">
        <v>395</v>
      </c>
      <c r="G294" t="s">
        <v>57</v>
      </c>
      <c r="H294" s="18">
        <v>16</v>
      </c>
      <c r="I294" s="9">
        <v>177.33</v>
      </c>
      <c r="J294" s="9">
        <v>2269.77</v>
      </c>
      <c r="K294" s="5" t="s">
        <v>861</v>
      </c>
      <c r="L294" t="s">
        <v>116</v>
      </c>
      <c r="M294" t="s">
        <v>60</v>
      </c>
      <c r="N294" t="s">
        <v>151</v>
      </c>
      <c r="O294">
        <v>177.33</v>
      </c>
      <c r="P294" s="5">
        <v>2269.8240000000001</v>
      </c>
      <c r="Q294" s="10">
        <v>0.2</v>
      </c>
      <c r="R294" s="19">
        <f>Table13[[#This Row],[Units]]*Table13[[#This Row],[UnitPrice]]*(1-Table13[[#This Row],[Discount Rate]])</f>
        <v>2269.8240000000001</v>
      </c>
      <c r="S294" t="s">
        <v>1058</v>
      </c>
      <c r="T294">
        <f>IF(Table13[[#This Row],[Returned]]="N",0,1)</f>
        <v>1</v>
      </c>
    </row>
    <row r="295" spans="1:20" x14ac:dyDescent="0.35">
      <c r="A295">
        <v>20293</v>
      </c>
      <c r="B295" s="11">
        <v>45313</v>
      </c>
      <c r="C295" t="s">
        <v>23</v>
      </c>
      <c r="D295" t="s">
        <v>24</v>
      </c>
      <c r="E295" t="s">
        <v>101</v>
      </c>
      <c r="F295" t="s">
        <v>17</v>
      </c>
      <c r="G295" t="s">
        <v>57</v>
      </c>
      <c r="H295" s="18">
        <v>10</v>
      </c>
      <c r="I295" s="9">
        <v>144.9</v>
      </c>
      <c r="J295" s="9">
        <v>1304.07</v>
      </c>
      <c r="K295" s="5" t="s">
        <v>863</v>
      </c>
      <c r="L295" t="s">
        <v>72</v>
      </c>
      <c r="M295" t="s">
        <v>60</v>
      </c>
      <c r="N295" t="s">
        <v>21</v>
      </c>
      <c r="O295">
        <v>144.9</v>
      </c>
      <c r="P295" s="5">
        <v>1304.1000000000001</v>
      </c>
      <c r="Q295" s="10">
        <v>0.1</v>
      </c>
      <c r="R295" s="19">
        <f>Table13[[#This Row],[Units]]*Table13[[#This Row],[UnitPrice]]*(1-Table13[[#This Row],[Discount Rate]])</f>
        <v>1304.1000000000001</v>
      </c>
      <c r="S295" t="s">
        <v>1058</v>
      </c>
      <c r="T295">
        <f>IF(Table13[[#This Row],[Returned]]="N",0,1)</f>
        <v>0</v>
      </c>
    </row>
    <row r="296" spans="1:20" x14ac:dyDescent="0.35">
      <c r="A296">
        <v>20294</v>
      </c>
      <c r="B296" s="11">
        <v>45300</v>
      </c>
      <c r="C296" t="s">
        <v>225</v>
      </c>
      <c r="D296" t="s">
        <v>89</v>
      </c>
      <c r="E296" t="s">
        <v>107</v>
      </c>
      <c r="F296" t="s">
        <v>26</v>
      </c>
      <c r="G296" t="s">
        <v>57</v>
      </c>
      <c r="H296" s="18">
        <v>5</v>
      </c>
      <c r="I296" s="9">
        <v>269.35000000000002</v>
      </c>
      <c r="J296" s="9">
        <v>1346.73</v>
      </c>
      <c r="K296" s="5" t="s">
        <v>866</v>
      </c>
      <c r="L296" t="s">
        <v>1056</v>
      </c>
      <c r="M296" t="s">
        <v>38</v>
      </c>
      <c r="N296" t="s">
        <v>21</v>
      </c>
      <c r="O296">
        <v>269.35000000000002</v>
      </c>
      <c r="P296" s="5">
        <v>1346.75</v>
      </c>
      <c r="Q296" s="10">
        <v>0</v>
      </c>
      <c r="R296" s="19">
        <f>Table13[[#This Row],[Units]]*Table13[[#This Row],[UnitPrice]]*(1-Table13[[#This Row],[Discount Rate]])</f>
        <v>1346.75</v>
      </c>
      <c r="S296" t="s">
        <v>1058</v>
      </c>
      <c r="T296">
        <f>IF(Table13[[#This Row],[Returned]]="N",0,1)</f>
        <v>0</v>
      </c>
    </row>
    <row r="297" spans="1:20" x14ac:dyDescent="0.35">
      <c r="A297">
        <v>20295</v>
      </c>
      <c r="B297" s="11">
        <v>45322</v>
      </c>
      <c r="C297" t="s">
        <v>225</v>
      </c>
      <c r="D297" t="s">
        <v>89</v>
      </c>
      <c r="E297" t="s">
        <v>142</v>
      </c>
      <c r="F297" t="s">
        <v>17</v>
      </c>
      <c r="G297" t="s">
        <v>76</v>
      </c>
      <c r="H297" s="18">
        <v>25</v>
      </c>
      <c r="I297" s="9">
        <v>190.52</v>
      </c>
      <c r="J297" s="9">
        <v>4525</v>
      </c>
      <c r="K297" s="5" t="s">
        <v>868</v>
      </c>
      <c r="L297" t="s">
        <v>104</v>
      </c>
      <c r="M297" t="s">
        <v>60</v>
      </c>
      <c r="N297" t="s">
        <v>21</v>
      </c>
      <c r="O297">
        <v>190.52</v>
      </c>
      <c r="P297" s="5">
        <v>4524.8499999999995</v>
      </c>
      <c r="Q297" s="10">
        <v>0.05</v>
      </c>
      <c r="R297" s="19">
        <f>Table13[[#This Row],[Units]]*Table13[[#This Row],[UnitPrice]]*(1-Table13[[#This Row],[Discount Rate]])</f>
        <v>4524.8499999999995</v>
      </c>
      <c r="S297" t="s">
        <v>1058</v>
      </c>
      <c r="T297">
        <f>IF(Table13[[#This Row],[Returned]]="N",0,1)</f>
        <v>0</v>
      </c>
    </row>
    <row r="298" spans="1:20" x14ac:dyDescent="0.35">
      <c r="A298">
        <v>20296</v>
      </c>
      <c r="B298" s="11">
        <v>45293</v>
      </c>
      <c r="C298" t="s">
        <v>652</v>
      </c>
      <c r="D298" t="s">
        <v>41</v>
      </c>
      <c r="E298" t="s">
        <v>107</v>
      </c>
      <c r="F298" t="s">
        <v>26</v>
      </c>
      <c r="G298" t="s">
        <v>18</v>
      </c>
      <c r="H298" s="18">
        <v>12</v>
      </c>
      <c r="I298" s="9">
        <v>280.25</v>
      </c>
      <c r="J298" s="9">
        <v>3026.66</v>
      </c>
      <c r="K298" s="5" t="s">
        <v>870</v>
      </c>
      <c r="L298" t="s">
        <v>570</v>
      </c>
      <c r="M298" t="s">
        <v>60</v>
      </c>
      <c r="N298" t="s">
        <v>21</v>
      </c>
      <c r="O298">
        <v>280.25</v>
      </c>
      <c r="P298" s="5">
        <v>3026.7000000000003</v>
      </c>
      <c r="Q298" s="10">
        <v>0.1</v>
      </c>
      <c r="R298" s="19">
        <f>Table13[[#This Row],[Units]]*Table13[[#This Row],[UnitPrice]]*(1-Table13[[#This Row],[Discount Rate]])</f>
        <v>3026.7000000000003</v>
      </c>
      <c r="S298" t="s">
        <v>1058</v>
      </c>
      <c r="T298">
        <f>IF(Table13[[#This Row],[Returned]]="N",0,1)</f>
        <v>0</v>
      </c>
    </row>
    <row r="299" spans="1:20" x14ac:dyDescent="0.35">
      <c r="A299">
        <v>20297</v>
      </c>
      <c r="B299" s="11">
        <v>45314</v>
      </c>
      <c r="C299" t="s">
        <v>225</v>
      </c>
      <c r="D299" t="s">
        <v>89</v>
      </c>
      <c r="E299" t="s">
        <v>85</v>
      </c>
      <c r="F299" t="s">
        <v>17</v>
      </c>
      <c r="G299" t="s">
        <v>43</v>
      </c>
      <c r="H299" s="18">
        <v>15</v>
      </c>
      <c r="I299" s="9">
        <v>65</v>
      </c>
      <c r="J299" s="9" t="e">
        <v>#VALUE!</v>
      </c>
      <c r="K299" s="5"/>
      <c r="L299" t="s">
        <v>72</v>
      </c>
      <c r="M299" t="s">
        <v>60</v>
      </c>
      <c r="N299" t="s">
        <v>21</v>
      </c>
      <c r="O299">
        <v>65</v>
      </c>
      <c r="P299" s="5">
        <v>877.5</v>
      </c>
      <c r="Q299" s="10">
        <v>0.1</v>
      </c>
      <c r="R299" s="19">
        <f>Table13[[#This Row],[Units]]*Table13[[#This Row],[UnitPrice]]*(1-Table13[[#This Row],[Discount Rate]])</f>
        <v>877.5</v>
      </c>
      <c r="S299" t="s">
        <v>1058</v>
      </c>
      <c r="T299">
        <f>IF(Table13[[#This Row],[Returned]]="N",0,1)</f>
        <v>0</v>
      </c>
    </row>
    <row r="300" spans="1:20" x14ac:dyDescent="0.35">
      <c r="A300">
        <v>20298</v>
      </c>
      <c r="B300" s="11">
        <v>45377</v>
      </c>
      <c r="C300" t="s">
        <v>23</v>
      </c>
      <c r="D300" t="s">
        <v>75</v>
      </c>
      <c r="E300" t="s">
        <v>107</v>
      </c>
      <c r="F300" t="s">
        <v>26</v>
      </c>
      <c r="G300" t="s">
        <v>57</v>
      </c>
      <c r="H300" s="18">
        <v>20</v>
      </c>
      <c r="I300" s="9">
        <v>295</v>
      </c>
      <c r="J300" s="9">
        <v>5309.25</v>
      </c>
      <c r="K300" s="5" t="s">
        <v>874</v>
      </c>
      <c r="L300" t="s">
        <v>72</v>
      </c>
      <c r="M300" t="s">
        <v>60</v>
      </c>
      <c r="N300" t="s">
        <v>21</v>
      </c>
      <c r="O300">
        <v>295</v>
      </c>
      <c r="P300" s="5">
        <v>5310</v>
      </c>
      <c r="Q300" s="10">
        <v>0.1</v>
      </c>
      <c r="R300" s="19">
        <f>Table13[[#This Row],[Units]]*Table13[[#This Row],[UnitPrice]]*(1-Table13[[#This Row],[Discount Rate]])</f>
        <v>5310</v>
      </c>
      <c r="S300" t="s">
        <v>1058</v>
      </c>
      <c r="T300">
        <f>IF(Table13[[#This Row],[Returned]]="N",0,1)</f>
        <v>0</v>
      </c>
    </row>
    <row r="301" spans="1:20" x14ac:dyDescent="0.35">
      <c r="A301">
        <v>20299</v>
      </c>
      <c r="B301" s="11">
        <v>45300</v>
      </c>
      <c r="C301" t="s">
        <v>100</v>
      </c>
      <c r="D301" t="s">
        <v>33</v>
      </c>
      <c r="E301" t="s">
        <v>16</v>
      </c>
      <c r="F301" t="s">
        <v>17</v>
      </c>
      <c r="G301" t="s">
        <v>57</v>
      </c>
      <c r="H301" s="18">
        <v>14</v>
      </c>
      <c r="I301" s="9">
        <v>35</v>
      </c>
      <c r="J301" s="9">
        <v>451.38</v>
      </c>
      <c r="K301" s="5" t="s">
        <v>876</v>
      </c>
      <c r="L301" t="s">
        <v>1056</v>
      </c>
      <c r="M301" t="s">
        <v>60</v>
      </c>
      <c r="N301" t="s">
        <v>151</v>
      </c>
      <c r="O301">
        <v>35</v>
      </c>
      <c r="P301" s="5">
        <v>490</v>
      </c>
      <c r="Q301" s="10">
        <v>0</v>
      </c>
      <c r="R301" s="19">
        <f>Table13[[#This Row],[Units]]*Table13[[#This Row],[UnitPrice]]*(1-Table13[[#This Row],[Discount Rate]])</f>
        <v>490</v>
      </c>
      <c r="S301" t="s">
        <v>1058</v>
      </c>
      <c r="T301">
        <f>IF(Table13[[#This Row],[Returned]]="N",0,1)</f>
        <v>1</v>
      </c>
    </row>
    <row r="302" spans="1:20" x14ac:dyDescent="0.35">
      <c r="A302">
        <v>20300</v>
      </c>
      <c r="B302" s="11">
        <v>45373</v>
      </c>
      <c r="C302" t="s">
        <v>652</v>
      </c>
      <c r="D302" t="s">
        <v>41</v>
      </c>
      <c r="E302" t="s">
        <v>50</v>
      </c>
      <c r="F302" t="s">
        <v>17</v>
      </c>
      <c r="G302" t="s">
        <v>18</v>
      </c>
      <c r="H302" s="18">
        <v>13</v>
      </c>
      <c r="I302" s="9">
        <v>492.51</v>
      </c>
      <c r="J302" s="9">
        <v>6402.67</v>
      </c>
      <c r="K302" s="5" t="s">
        <v>879</v>
      </c>
      <c r="L302" t="s">
        <v>1056</v>
      </c>
      <c r="M302" t="s">
        <v>30</v>
      </c>
      <c r="N302" t="s">
        <v>21</v>
      </c>
      <c r="O302">
        <v>492.51</v>
      </c>
      <c r="P302" s="5">
        <v>6402.63</v>
      </c>
      <c r="Q302" s="10">
        <v>0</v>
      </c>
      <c r="R302" s="19">
        <f>Table13[[#This Row],[Units]]*Table13[[#This Row],[UnitPrice]]*(1-Table13[[#This Row],[Discount Rate]])</f>
        <v>6402.63</v>
      </c>
      <c r="S302" t="s">
        <v>1058</v>
      </c>
      <c r="T302">
        <f>IF(Table13[[#This Row],[Returned]]="N",0,1)</f>
        <v>0</v>
      </c>
    </row>
    <row r="303" spans="1:20" x14ac:dyDescent="0.35">
      <c r="A303">
        <v>20301</v>
      </c>
      <c r="B303" s="11">
        <v>45345</v>
      </c>
      <c r="C303" t="s">
        <v>96</v>
      </c>
      <c r="D303" t="s">
        <v>49</v>
      </c>
      <c r="E303" t="s">
        <v>16</v>
      </c>
      <c r="F303" t="s">
        <v>17</v>
      </c>
      <c r="G303" t="s">
        <v>18</v>
      </c>
      <c r="H303" s="18">
        <v>20</v>
      </c>
      <c r="I303" s="9">
        <v>34.119999999999997</v>
      </c>
      <c r="J303" s="9">
        <v>614</v>
      </c>
      <c r="K303" s="5" t="s">
        <v>881</v>
      </c>
      <c r="L303" t="s">
        <v>72</v>
      </c>
      <c r="M303" t="s">
        <v>60</v>
      </c>
      <c r="N303" t="s">
        <v>21</v>
      </c>
      <c r="O303">
        <v>34.119999999999997</v>
      </c>
      <c r="P303" s="5">
        <v>614.16</v>
      </c>
      <c r="Q303" s="10">
        <v>0.1</v>
      </c>
      <c r="R303" s="19">
        <f>Table13[[#This Row],[Units]]*Table13[[#This Row],[UnitPrice]]*(1-Table13[[#This Row],[Discount Rate]])</f>
        <v>614.16</v>
      </c>
      <c r="S303" t="s">
        <v>1058</v>
      </c>
      <c r="T303">
        <f>IF(Table13[[#This Row],[Returned]]="N",0,1)</f>
        <v>0</v>
      </c>
    </row>
    <row r="304" spans="1:20" x14ac:dyDescent="0.35">
      <c r="A304">
        <v>20302</v>
      </c>
      <c r="B304" s="11">
        <v>45302</v>
      </c>
      <c r="C304" t="s">
        <v>23</v>
      </c>
      <c r="D304" t="s">
        <v>15</v>
      </c>
      <c r="E304" t="s">
        <v>34</v>
      </c>
      <c r="F304" t="s">
        <v>26</v>
      </c>
      <c r="G304" t="s">
        <v>57</v>
      </c>
      <c r="H304" s="18">
        <v>13</v>
      </c>
      <c r="I304" s="9">
        <v>393.42</v>
      </c>
      <c r="J304" s="9">
        <v>4347.2700000000004</v>
      </c>
      <c r="K304" s="5" t="s">
        <v>884</v>
      </c>
      <c r="L304" t="s">
        <v>220</v>
      </c>
      <c r="M304" t="s">
        <v>30</v>
      </c>
      <c r="N304" t="s">
        <v>21</v>
      </c>
      <c r="O304">
        <v>393.42</v>
      </c>
      <c r="P304" s="5">
        <v>4347.2910000000002</v>
      </c>
      <c r="Q304" s="10">
        <v>0.15</v>
      </c>
      <c r="R304" s="19">
        <f>Table13[[#This Row],[Units]]*Table13[[#This Row],[UnitPrice]]*(1-Table13[[#This Row],[Discount Rate]])</f>
        <v>4347.2910000000002</v>
      </c>
      <c r="S304" t="s">
        <v>1058</v>
      </c>
      <c r="T304">
        <f>IF(Table13[[#This Row],[Returned]]="N",0,1)</f>
        <v>0</v>
      </c>
    </row>
    <row r="305" spans="1:20" x14ac:dyDescent="0.35">
      <c r="A305">
        <v>20303</v>
      </c>
      <c r="B305" s="11">
        <v>45368</v>
      </c>
      <c r="C305" t="s">
        <v>23</v>
      </c>
      <c r="D305" t="s">
        <v>24</v>
      </c>
      <c r="E305" t="s">
        <v>166</v>
      </c>
      <c r="F305" t="s">
        <v>17</v>
      </c>
      <c r="G305" t="s">
        <v>76</v>
      </c>
      <c r="H305" s="18">
        <v>18</v>
      </c>
      <c r="I305" s="9">
        <v>23</v>
      </c>
      <c r="J305" s="9">
        <v>391.59</v>
      </c>
      <c r="K305" s="5" t="s">
        <v>887</v>
      </c>
      <c r="L305" t="s">
        <v>104</v>
      </c>
      <c r="M305" t="s">
        <v>60</v>
      </c>
      <c r="N305" t="s">
        <v>21</v>
      </c>
      <c r="O305">
        <v>23</v>
      </c>
      <c r="P305" s="5">
        <v>393.29999999999995</v>
      </c>
      <c r="Q305" s="10">
        <v>0.05</v>
      </c>
      <c r="R305" s="19">
        <f>Table13[[#This Row],[Units]]*Table13[[#This Row],[UnitPrice]]*(1-Table13[[#This Row],[Discount Rate]])</f>
        <v>393.29999999999995</v>
      </c>
      <c r="S305" t="s">
        <v>1058</v>
      </c>
      <c r="T305">
        <f>IF(Table13[[#This Row],[Returned]]="N",0,1)</f>
        <v>0</v>
      </c>
    </row>
    <row r="306" spans="1:20" x14ac:dyDescent="0.35">
      <c r="A306">
        <v>20304</v>
      </c>
      <c r="B306" s="11">
        <v>45307</v>
      </c>
      <c r="C306" t="s">
        <v>23</v>
      </c>
      <c r="D306" t="s">
        <v>177</v>
      </c>
      <c r="E306" t="s">
        <v>50</v>
      </c>
      <c r="F306" t="s">
        <v>17</v>
      </c>
      <c r="G306" t="s">
        <v>76</v>
      </c>
      <c r="H306" s="18">
        <v>9</v>
      </c>
      <c r="I306" s="9">
        <v>405</v>
      </c>
      <c r="J306" s="9">
        <v>3465.97</v>
      </c>
      <c r="K306" s="5" t="s">
        <v>888</v>
      </c>
      <c r="L306" t="s">
        <v>104</v>
      </c>
      <c r="M306" t="s">
        <v>60</v>
      </c>
      <c r="N306" t="s">
        <v>21</v>
      </c>
      <c r="O306">
        <v>405</v>
      </c>
      <c r="P306" s="5">
        <v>3462.75</v>
      </c>
      <c r="Q306" s="10">
        <v>0.05</v>
      </c>
      <c r="R306" s="19">
        <f>Table13[[#This Row],[Units]]*Table13[[#This Row],[UnitPrice]]*(1-Table13[[#This Row],[Discount Rate]])</f>
        <v>3462.75</v>
      </c>
      <c r="S306" t="s">
        <v>1058</v>
      </c>
      <c r="T306">
        <f>IF(Table13[[#This Row],[Returned]]="N",0,1)</f>
        <v>0</v>
      </c>
    </row>
    <row r="307" spans="1:20" x14ac:dyDescent="0.35">
      <c r="A307">
        <v>20305</v>
      </c>
      <c r="B307" s="11">
        <v>45323</v>
      </c>
      <c r="C307" t="s">
        <v>96</v>
      </c>
      <c r="D307" t="s">
        <v>49</v>
      </c>
      <c r="E307" t="s">
        <v>34</v>
      </c>
      <c r="F307" t="s">
        <v>26</v>
      </c>
      <c r="G307" t="s">
        <v>18</v>
      </c>
      <c r="H307" s="18">
        <v>13</v>
      </c>
      <c r="I307" s="9">
        <v>439.8</v>
      </c>
      <c r="J307" s="9">
        <v>5717.35</v>
      </c>
      <c r="K307" s="5" t="s">
        <v>890</v>
      </c>
      <c r="L307" t="s">
        <v>1056</v>
      </c>
      <c r="M307" t="s">
        <v>30</v>
      </c>
      <c r="N307" t="s">
        <v>21</v>
      </c>
      <c r="O307">
        <v>439.8</v>
      </c>
      <c r="P307" s="5">
        <v>5717.4000000000005</v>
      </c>
      <c r="Q307" s="10">
        <v>0</v>
      </c>
      <c r="R307" s="19">
        <f>Table13[[#This Row],[Units]]*Table13[[#This Row],[UnitPrice]]*(1-Table13[[#This Row],[Discount Rate]])</f>
        <v>5717.4000000000005</v>
      </c>
      <c r="S307" t="s">
        <v>1058</v>
      </c>
      <c r="T307">
        <f>IF(Table13[[#This Row],[Returned]]="N",0,1)</f>
        <v>0</v>
      </c>
    </row>
    <row r="308" spans="1:20" x14ac:dyDescent="0.35">
      <c r="A308">
        <v>20306</v>
      </c>
      <c r="B308" s="11">
        <v>45326</v>
      </c>
      <c r="C308" t="s">
        <v>100</v>
      </c>
      <c r="D308" t="s">
        <v>33</v>
      </c>
      <c r="E308" t="s">
        <v>16</v>
      </c>
      <c r="F308" t="s">
        <v>17</v>
      </c>
      <c r="G308" t="s">
        <v>18</v>
      </c>
      <c r="H308" s="18">
        <v>14</v>
      </c>
      <c r="I308" s="9">
        <v>35</v>
      </c>
      <c r="J308" s="9">
        <v>490</v>
      </c>
      <c r="K308" s="5" t="s">
        <v>893</v>
      </c>
      <c r="L308" t="s">
        <v>1056</v>
      </c>
      <c r="M308" t="s">
        <v>60</v>
      </c>
      <c r="N308" t="s">
        <v>21</v>
      </c>
      <c r="O308">
        <v>35</v>
      </c>
      <c r="P308" s="5">
        <v>490</v>
      </c>
      <c r="Q308" s="10">
        <v>0</v>
      </c>
      <c r="R308" s="19">
        <f>Table13[[#This Row],[Units]]*Table13[[#This Row],[UnitPrice]]*(1-Table13[[#This Row],[Discount Rate]])</f>
        <v>490</v>
      </c>
      <c r="S308" t="s">
        <v>1058</v>
      </c>
      <c r="T308">
        <f>IF(Table13[[#This Row],[Returned]]="N",0,1)</f>
        <v>0</v>
      </c>
    </row>
    <row r="309" spans="1:20" x14ac:dyDescent="0.35">
      <c r="A309">
        <v>20307</v>
      </c>
      <c r="B309" s="11">
        <v>45344</v>
      </c>
      <c r="C309" t="s">
        <v>96</v>
      </c>
      <c r="D309" t="s">
        <v>314</v>
      </c>
      <c r="E309" t="s">
        <v>50</v>
      </c>
      <c r="F309" t="s">
        <v>17</v>
      </c>
      <c r="G309" t="s">
        <v>57</v>
      </c>
      <c r="H309" s="18">
        <v>14</v>
      </c>
      <c r="I309" s="9">
        <v>470.97</v>
      </c>
      <c r="J309" s="9">
        <v>5934.27</v>
      </c>
      <c r="K309" s="5" t="s">
        <v>895</v>
      </c>
      <c r="L309" t="s">
        <v>72</v>
      </c>
      <c r="M309" t="s">
        <v>30</v>
      </c>
      <c r="N309" t="s">
        <v>21</v>
      </c>
      <c r="O309">
        <v>470.97</v>
      </c>
      <c r="P309" s="5">
        <v>5934.2219999999998</v>
      </c>
      <c r="Q309" s="10">
        <v>0.1</v>
      </c>
      <c r="R309" s="19">
        <f>Table13[[#This Row],[Units]]*Table13[[#This Row],[UnitPrice]]*(1-Table13[[#This Row],[Discount Rate]])</f>
        <v>5934.2219999999998</v>
      </c>
      <c r="S309" t="s">
        <v>1058</v>
      </c>
      <c r="T309">
        <f>IF(Table13[[#This Row],[Returned]]="N",0,1)</f>
        <v>0</v>
      </c>
    </row>
    <row r="310" spans="1:20" x14ac:dyDescent="0.35">
      <c r="A310">
        <v>20308</v>
      </c>
      <c r="B310" s="11">
        <v>45354</v>
      </c>
      <c r="C310" t="s">
        <v>23</v>
      </c>
      <c r="D310" t="s">
        <v>75</v>
      </c>
      <c r="E310" t="s">
        <v>166</v>
      </c>
      <c r="F310" t="s">
        <v>17</v>
      </c>
      <c r="G310" t="s">
        <v>27</v>
      </c>
      <c r="H310" s="18">
        <v>8</v>
      </c>
      <c r="I310" s="9">
        <v>25.86</v>
      </c>
      <c r="J310" s="9">
        <v>186.22</v>
      </c>
      <c r="K310" s="5" t="s">
        <v>897</v>
      </c>
      <c r="L310" t="s">
        <v>72</v>
      </c>
      <c r="M310" t="s">
        <v>30</v>
      </c>
      <c r="N310" t="s">
        <v>151</v>
      </c>
      <c r="O310">
        <v>25.86</v>
      </c>
      <c r="P310" s="5">
        <v>186.19200000000001</v>
      </c>
      <c r="Q310" s="10">
        <v>0.1</v>
      </c>
      <c r="R310" s="19">
        <f>Table13[[#This Row],[Units]]*Table13[[#This Row],[UnitPrice]]*(1-Table13[[#This Row],[Discount Rate]])</f>
        <v>186.19200000000001</v>
      </c>
      <c r="S310" t="s">
        <v>1058</v>
      </c>
      <c r="T310">
        <f>IF(Table13[[#This Row],[Returned]]="N",0,1)</f>
        <v>1</v>
      </c>
    </row>
    <row r="311" spans="1:20" x14ac:dyDescent="0.35">
      <c r="A311">
        <v>20309</v>
      </c>
      <c r="B311" s="11">
        <v>45323</v>
      </c>
      <c r="C311" t="s">
        <v>100</v>
      </c>
      <c r="D311" t="s">
        <v>141</v>
      </c>
      <c r="E311" t="s">
        <v>25</v>
      </c>
      <c r="F311" t="s">
        <v>26</v>
      </c>
      <c r="G311" t="s">
        <v>57</v>
      </c>
      <c r="H311" s="18">
        <v>2</v>
      </c>
      <c r="I311" s="9">
        <v>120</v>
      </c>
      <c r="J311" s="9">
        <v>257.91000000000003</v>
      </c>
      <c r="K311" s="5" t="s">
        <v>898</v>
      </c>
      <c r="L311" t="s">
        <v>1056</v>
      </c>
      <c r="M311" t="s">
        <v>30</v>
      </c>
      <c r="N311" t="s">
        <v>21</v>
      </c>
      <c r="O311">
        <v>120</v>
      </c>
      <c r="P311" s="5">
        <v>240</v>
      </c>
      <c r="Q311" s="10">
        <v>0</v>
      </c>
      <c r="R311" s="19">
        <f>Table13[[#This Row],[Units]]*Table13[[#This Row],[UnitPrice]]*(1-Table13[[#This Row],[Discount Rate]])</f>
        <v>240</v>
      </c>
      <c r="S311" t="s">
        <v>1058</v>
      </c>
      <c r="T311">
        <f>IF(Table13[[#This Row],[Returned]]="N",0,1)</f>
        <v>0</v>
      </c>
    </row>
    <row r="312" spans="1:20" x14ac:dyDescent="0.35">
      <c r="A312">
        <v>20310</v>
      </c>
      <c r="B312" s="11">
        <v>45310</v>
      </c>
      <c r="C312" t="s">
        <v>652</v>
      </c>
      <c r="D312" t="s">
        <v>41</v>
      </c>
      <c r="E312" t="s">
        <v>56</v>
      </c>
      <c r="F312" t="s">
        <v>17</v>
      </c>
      <c r="G312" t="s">
        <v>18</v>
      </c>
      <c r="H312" s="18">
        <v>11</v>
      </c>
      <c r="I312" s="9">
        <v>804.7</v>
      </c>
      <c r="J312" s="9">
        <v>7081</v>
      </c>
      <c r="K312" s="5" t="s">
        <v>900</v>
      </c>
      <c r="L312" t="s">
        <v>116</v>
      </c>
      <c r="M312" t="s">
        <v>30</v>
      </c>
      <c r="N312" t="s">
        <v>21</v>
      </c>
      <c r="O312">
        <v>804.7</v>
      </c>
      <c r="P312" s="5">
        <v>7081.3600000000006</v>
      </c>
      <c r="Q312" s="10">
        <v>0.2</v>
      </c>
      <c r="R312" s="19">
        <f>Table13[[#This Row],[Units]]*Table13[[#This Row],[UnitPrice]]*(1-Table13[[#This Row],[Discount Rate]])</f>
        <v>7081.3600000000006</v>
      </c>
      <c r="S312" t="s">
        <v>1058</v>
      </c>
      <c r="T312">
        <f>IF(Table13[[#This Row],[Returned]]="N",0,1)</f>
        <v>0</v>
      </c>
    </row>
    <row r="313" spans="1:20" x14ac:dyDescent="0.35">
      <c r="A313">
        <v>20311</v>
      </c>
      <c r="B313" s="11">
        <v>45307</v>
      </c>
      <c r="C313" t="s">
        <v>225</v>
      </c>
      <c r="D313" t="s">
        <v>89</v>
      </c>
      <c r="E313" t="s">
        <v>69</v>
      </c>
      <c r="F313" t="s">
        <v>26</v>
      </c>
      <c r="G313" t="s">
        <v>76</v>
      </c>
      <c r="H313" s="18">
        <v>18</v>
      </c>
      <c r="I313" s="9">
        <v>33</v>
      </c>
      <c r="J313" s="9">
        <v>500.2</v>
      </c>
      <c r="K313" s="5" t="s">
        <v>902</v>
      </c>
      <c r="L313" t="s">
        <v>220</v>
      </c>
      <c r="M313" t="s">
        <v>60</v>
      </c>
      <c r="N313" t="s">
        <v>21</v>
      </c>
      <c r="O313">
        <v>33</v>
      </c>
      <c r="P313" s="5">
        <v>504.9</v>
      </c>
      <c r="Q313" s="10">
        <v>0.15</v>
      </c>
      <c r="R313" s="19">
        <f>Table13[[#This Row],[Units]]*Table13[[#This Row],[UnitPrice]]*(1-Table13[[#This Row],[Discount Rate]])</f>
        <v>504.9</v>
      </c>
      <c r="S313" t="s">
        <v>1058</v>
      </c>
      <c r="T313">
        <f>IF(Table13[[#This Row],[Returned]]="N",0,1)</f>
        <v>0</v>
      </c>
    </row>
    <row r="314" spans="1:20" x14ac:dyDescent="0.35">
      <c r="A314">
        <v>20312</v>
      </c>
      <c r="B314" s="11">
        <v>45340</v>
      </c>
      <c r="C314" t="s">
        <v>100</v>
      </c>
      <c r="D314" t="s">
        <v>33</v>
      </c>
      <c r="E314" t="s">
        <v>101</v>
      </c>
      <c r="F314" t="s">
        <v>17</v>
      </c>
      <c r="G314" t="s">
        <v>27</v>
      </c>
      <c r="H314" s="18">
        <v>13</v>
      </c>
      <c r="I314" s="9">
        <v>148</v>
      </c>
      <c r="J314" s="9">
        <v>1539</v>
      </c>
      <c r="K314" s="5" t="s">
        <v>904</v>
      </c>
      <c r="L314" t="s">
        <v>116</v>
      </c>
      <c r="M314" t="s">
        <v>30</v>
      </c>
      <c r="N314" t="s">
        <v>21</v>
      </c>
      <c r="O314">
        <v>148</v>
      </c>
      <c r="P314" s="5">
        <v>1539.2</v>
      </c>
      <c r="Q314" s="10">
        <v>0.2</v>
      </c>
      <c r="R314" s="19">
        <f>Table13[[#This Row],[Units]]*Table13[[#This Row],[UnitPrice]]*(1-Table13[[#This Row],[Discount Rate]])</f>
        <v>1539.2</v>
      </c>
      <c r="S314" t="s">
        <v>1058</v>
      </c>
      <c r="T314">
        <f>IF(Table13[[#This Row],[Returned]]="N",0,1)</f>
        <v>0</v>
      </c>
    </row>
    <row r="315" spans="1:20" x14ac:dyDescent="0.35">
      <c r="A315">
        <v>20313</v>
      </c>
      <c r="B315" s="11">
        <v>45296</v>
      </c>
      <c r="C315" t="s">
        <v>100</v>
      </c>
      <c r="D315" t="s">
        <v>33</v>
      </c>
      <c r="E315" t="s">
        <v>42</v>
      </c>
      <c r="F315" t="s">
        <v>17</v>
      </c>
      <c r="G315" t="s">
        <v>76</v>
      </c>
      <c r="H315" s="18">
        <v>8</v>
      </c>
      <c r="I315" s="9">
        <v>201.53</v>
      </c>
      <c r="J315" s="9">
        <v>1612.25</v>
      </c>
      <c r="K315" s="5" t="s">
        <v>907</v>
      </c>
      <c r="L315" t="s">
        <v>1056</v>
      </c>
      <c r="M315" t="s">
        <v>60</v>
      </c>
      <c r="N315" t="s">
        <v>21</v>
      </c>
      <c r="O315">
        <v>201.53</v>
      </c>
      <c r="P315" s="5">
        <v>1612.24</v>
      </c>
      <c r="Q315" s="10">
        <v>0</v>
      </c>
      <c r="R315" s="19">
        <f>Table13[[#This Row],[Units]]*Table13[[#This Row],[UnitPrice]]*(1-Table13[[#This Row],[Discount Rate]])</f>
        <v>1612.24</v>
      </c>
      <c r="S315" t="s">
        <v>1058</v>
      </c>
      <c r="T315">
        <f>IF(Table13[[#This Row],[Returned]]="N",0,1)</f>
        <v>0</v>
      </c>
    </row>
    <row r="316" spans="1:20" x14ac:dyDescent="0.35">
      <c r="A316">
        <v>20314</v>
      </c>
      <c r="B316" s="11">
        <v>45376</v>
      </c>
      <c r="C316" t="s">
        <v>652</v>
      </c>
      <c r="D316" t="s">
        <v>121</v>
      </c>
      <c r="E316" t="s">
        <v>69</v>
      </c>
      <c r="F316" t="s">
        <v>26</v>
      </c>
      <c r="G316" t="s">
        <v>43</v>
      </c>
      <c r="H316" s="18">
        <v>2</v>
      </c>
      <c r="I316" s="9">
        <v>33.83</v>
      </c>
      <c r="J316" s="9">
        <v>68</v>
      </c>
      <c r="K316" s="5" t="s">
        <v>909</v>
      </c>
      <c r="L316" t="s">
        <v>1056</v>
      </c>
      <c r="M316" t="s">
        <v>30</v>
      </c>
      <c r="N316" t="s">
        <v>21</v>
      </c>
      <c r="O316">
        <v>33.83</v>
      </c>
      <c r="P316" s="5">
        <v>67.66</v>
      </c>
      <c r="Q316" s="10">
        <v>0</v>
      </c>
      <c r="R316" s="19">
        <f>Table13[[#This Row],[Units]]*Table13[[#This Row],[UnitPrice]]*(1-Table13[[#This Row],[Discount Rate]])</f>
        <v>67.66</v>
      </c>
      <c r="S316" t="s">
        <v>1058</v>
      </c>
      <c r="T316">
        <f>IF(Table13[[#This Row],[Returned]]="N",0,1)</f>
        <v>0</v>
      </c>
    </row>
    <row r="317" spans="1:20" x14ac:dyDescent="0.35">
      <c r="A317">
        <v>20315</v>
      </c>
      <c r="B317" s="11">
        <v>45310</v>
      </c>
      <c r="C317" t="s">
        <v>84</v>
      </c>
      <c r="D317" t="s">
        <v>170</v>
      </c>
      <c r="E317" t="s">
        <v>50</v>
      </c>
      <c r="F317" t="s">
        <v>17</v>
      </c>
      <c r="G317" t="s">
        <v>18</v>
      </c>
      <c r="H317" s="18">
        <v>7</v>
      </c>
      <c r="I317" s="9">
        <v>454.32</v>
      </c>
      <c r="J317" s="9">
        <v>3180.25</v>
      </c>
      <c r="K317" s="5" t="s">
        <v>912</v>
      </c>
      <c r="L317" t="s">
        <v>1056</v>
      </c>
      <c r="M317" t="s">
        <v>30</v>
      </c>
      <c r="N317" t="s">
        <v>151</v>
      </c>
      <c r="O317">
        <v>454.32</v>
      </c>
      <c r="P317" s="5">
        <v>3180.24</v>
      </c>
      <c r="Q317" s="10">
        <v>0</v>
      </c>
      <c r="R317" s="19">
        <f>Table13[[#This Row],[Units]]*Table13[[#This Row],[UnitPrice]]*(1-Table13[[#This Row],[Discount Rate]])</f>
        <v>3180.24</v>
      </c>
      <c r="S317" t="s">
        <v>1058</v>
      </c>
      <c r="T317">
        <f>IF(Table13[[#This Row],[Returned]]="N",0,1)</f>
        <v>1</v>
      </c>
    </row>
    <row r="318" spans="1:20" x14ac:dyDescent="0.35">
      <c r="A318">
        <v>20316</v>
      </c>
      <c r="B318" s="11">
        <v>45368</v>
      </c>
      <c r="C318" t="s">
        <v>23</v>
      </c>
      <c r="D318" t="s">
        <v>177</v>
      </c>
      <c r="E318" t="s">
        <v>107</v>
      </c>
      <c r="F318" t="s">
        <v>26</v>
      </c>
      <c r="G318" t="s">
        <v>18</v>
      </c>
      <c r="H318" s="18">
        <v>18</v>
      </c>
      <c r="I318" s="9">
        <v>262.06</v>
      </c>
      <c r="J318" s="9">
        <v>4717.07</v>
      </c>
      <c r="K318" s="5" t="s">
        <v>914</v>
      </c>
      <c r="L318" t="s">
        <v>1056</v>
      </c>
      <c r="M318" t="s">
        <v>60</v>
      </c>
      <c r="N318" t="s">
        <v>21</v>
      </c>
      <c r="O318">
        <v>262.06</v>
      </c>
      <c r="P318" s="5">
        <v>4717.08</v>
      </c>
      <c r="Q318" s="10">
        <v>0</v>
      </c>
      <c r="R318" s="19">
        <f>Table13[[#This Row],[Units]]*Table13[[#This Row],[UnitPrice]]*(1-Table13[[#This Row],[Discount Rate]])</f>
        <v>4717.08</v>
      </c>
      <c r="S318" t="s">
        <v>1058</v>
      </c>
      <c r="T318">
        <f>IF(Table13[[#This Row],[Returned]]="N",0,1)</f>
        <v>0</v>
      </c>
    </row>
    <row r="319" spans="1:20" x14ac:dyDescent="0.35">
      <c r="A319">
        <v>20317</v>
      </c>
      <c r="B319" s="11">
        <v>45374</v>
      </c>
      <c r="C319" t="s">
        <v>652</v>
      </c>
      <c r="D319" t="s">
        <v>41</v>
      </c>
      <c r="E319" t="s">
        <v>166</v>
      </c>
      <c r="F319" t="s">
        <v>17</v>
      </c>
      <c r="G319" t="s">
        <v>76</v>
      </c>
      <c r="H319" s="18">
        <v>5</v>
      </c>
      <c r="I319" s="9">
        <v>23.11</v>
      </c>
      <c r="J319" s="9">
        <v>115.55</v>
      </c>
      <c r="K319" s="5" t="s">
        <v>916</v>
      </c>
      <c r="L319" t="s">
        <v>1056</v>
      </c>
      <c r="M319" t="s">
        <v>60</v>
      </c>
      <c r="N319" t="s">
        <v>21</v>
      </c>
      <c r="O319">
        <v>23.11</v>
      </c>
      <c r="P319" s="5">
        <v>115.55</v>
      </c>
      <c r="Q319" s="10">
        <v>0</v>
      </c>
      <c r="R319" s="19">
        <f>Table13[[#This Row],[Units]]*Table13[[#This Row],[UnitPrice]]*(1-Table13[[#This Row],[Discount Rate]])</f>
        <v>115.55</v>
      </c>
      <c r="S319" t="s">
        <v>1058</v>
      </c>
      <c r="T319">
        <f>IF(Table13[[#This Row],[Returned]]="N",0,1)</f>
        <v>0</v>
      </c>
    </row>
    <row r="320" spans="1:20" x14ac:dyDescent="0.35">
      <c r="A320">
        <v>20318</v>
      </c>
      <c r="B320" s="11">
        <v>45363</v>
      </c>
      <c r="C320" t="s">
        <v>84</v>
      </c>
      <c r="D320" t="s">
        <v>170</v>
      </c>
      <c r="E320" t="s">
        <v>142</v>
      </c>
      <c r="F320" t="s">
        <v>395</v>
      </c>
      <c r="G320" t="s">
        <v>57</v>
      </c>
      <c r="H320" s="18">
        <v>18</v>
      </c>
      <c r="I320" s="9">
        <v>181.08</v>
      </c>
      <c r="J320" s="9">
        <v>3259</v>
      </c>
      <c r="K320" s="5" t="s">
        <v>918</v>
      </c>
      <c r="L320" t="s">
        <v>1056</v>
      </c>
      <c r="M320" t="s">
        <v>30</v>
      </c>
      <c r="N320" t="s">
        <v>21</v>
      </c>
      <c r="O320">
        <v>181.08</v>
      </c>
      <c r="P320" s="5">
        <v>3259.44</v>
      </c>
      <c r="Q320" s="10">
        <v>0</v>
      </c>
      <c r="R320" s="19">
        <f>Table13[[#This Row],[Units]]*Table13[[#This Row],[UnitPrice]]*(1-Table13[[#This Row],[Discount Rate]])</f>
        <v>3259.44</v>
      </c>
      <c r="S320" t="s">
        <v>1058</v>
      </c>
      <c r="T320">
        <f>IF(Table13[[#This Row],[Returned]]="N",0,1)</f>
        <v>0</v>
      </c>
    </row>
    <row r="321" spans="1:20" x14ac:dyDescent="0.35">
      <c r="A321">
        <v>20319</v>
      </c>
      <c r="B321" s="11">
        <v>45337</v>
      </c>
      <c r="C321" t="s">
        <v>23</v>
      </c>
      <c r="D321" t="s">
        <v>24</v>
      </c>
      <c r="E321" t="s">
        <v>56</v>
      </c>
      <c r="F321" t="s">
        <v>17</v>
      </c>
      <c r="G321" t="s">
        <v>27</v>
      </c>
      <c r="H321" s="18">
        <v>20</v>
      </c>
      <c r="I321" s="9">
        <v>794</v>
      </c>
      <c r="J321" s="9">
        <v>14295.11</v>
      </c>
      <c r="K321" s="5" t="s">
        <v>920</v>
      </c>
      <c r="L321" t="s">
        <v>72</v>
      </c>
      <c r="M321" t="s">
        <v>60</v>
      </c>
      <c r="N321" t="s">
        <v>21</v>
      </c>
      <c r="O321">
        <v>794</v>
      </c>
      <c r="P321" s="5">
        <v>14292</v>
      </c>
      <c r="Q321" s="10">
        <v>0.1</v>
      </c>
      <c r="R321" s="19">
        <f>Table13[[#This Row],[Units]]*Table13[[#This Row],[UnitPrice]]*(1-Table13[[#This Row],[Discount Rate]])</f>
        <v>14292</v>
      </c>
      <c r="S321" t="s">
        <v>1058</v>
      </c>
      <c r="T321">
        <f>IF(Table13[[#This Row],[Returned]]="N",0,1)</f>
        <v>0</v>
      </c>
    </row>
    <row r="322" spans="1:20" x14ac:dyDescent="0.35">
      <c r="A322">
        <v>20320</v>
      </c>
      <c r="B322" s="11">
        <v>45374</v>
      </c>
      <c r="C322" t="s">
        <v>23</v>
      </c>
      <c r="D322" t="s">
        <v>15</v>
      </c>
      <c r="E322" t="s">
        <v>101</v>
      </c>
      <c r="F322" t="s">
        <v>17</v>
      </c>
      <c r="G322" t="s">
        <v>18</v>
      </c>
      <c r="H322" s="18">
        <v>22</v>
      </c>
      <c r="I322" s="9">
        <v>137.82</v>
      </c>
      <c r="J322" s="9">
        <v>2728.77</v>
      </c>
      <c r="K322" s="5" t="s">
        <v>922</v>
      </c>
      <c r="L322" t="s">
        <v>72</v>
      </c>
      <c r="M322" t="s">
        <v>60</v>
      </c>
      <c r="N322" t="s">
        <v>21</v>
      </c>
      <c r="O322">
        <v>137.82</v>
      </c>
      <c r="P322" s="5">
        <v>2728.8360000000002</v>
      </c>
      <c r="Q322" s="10">
        <v>0.1</v>
      </c>
      <c r="R322" s="19">
        <f>Table13[[#This Row],[Units]]*Table13[[#This Row],[UnitPrice]]*(1-Table13[[#This Row],[Discount Rate]])</f>
        <v>2728.8360000000002</v>
      </c>
      <c r="S322" t="s">
        <v>1058</v>
      </c>
      <c r="T322">
        <f>IF(Table13[[#This Row],[Returned]]="N",0,1)</f>
        <v>0</v>
      </c>
    </row>
    <row r="323" spans="1:20" x14ac:dyDescent="0.35">
      <c r="A323">
        <v>20321</v>
      </c>
      <c r="B323" s="11">
        <v>45307</v>
      </c>
      <c r="C323" t="s">
        <v>23</v>
      </c>
      <c r="D323" t="s">
        <v>24</v>
      </c>
      <c r="E323" t="s">
        <v>107</v>
      </c>
      <c r="F323" t="s">
        <v>26</v>
      </c>
      <c r="G323" t="s">
        <v>57</v>
      </c>
      <c r="H323" s="18">
        <v>8</v>
      </c>
      <c r="I323" s="9">
        <v>281.76</v>
      </c>
      <c r="J323" s="9">
        <v>2028.69</v>
      </c>
      <c r="K323" s="5" t="s">
        <v>924</v>
      </c>
      <c r="L323" t="s">
        <v>72</v>
      </c>
      <c r="M323" t="s">
        <v>60</v>
      </c>
      <c r="N323" t="s">
        <v>21</v>
      </c>
      <c r="O323">
        <v>281.76</v>
      </c>
      <c r="P323" s="5">
        <v>2028.672</v>
      </c>
      <c r="Q323" s="10">
        <v>0.1</v>
      </c>
      <c r="R323" s="19">
        <f>Table13[[#This Row],[Units]]*Table13[[#This Row],[UnitPrice]]*(1-Table13[[#This Row],[Discount Rate]])</f>
        <v>2028.672</v>
      </c>
      <c r="S323" t="s">
        <v>1058</v>
      </c>
      <c r="T323">
        <f>IF(Table13[[#This Row],[Returned]]="N",0,1)</f>
        <v>0</v>
      </c>
    </row>
    <row r="324" spans="1:20" x14ac:dyDescent="0.35">
      <c r="A324">
        <v>20322</v>
      </c>
      <c r="B324" s="11">
        <v>45326</v>
      </c>
      <c r="C324" t="s">
        <v>23</v>
      </c>
      <c r="D324" t="s">
        <v>24</v>
      </c>
      <c r="E324" t="s">
        <v>85</v>
      </c>
      <c r="F324" t="s">
        <v>17</v>
      </c>
      <c r="G324" t="s">
        <v>76</v>
      </c>
      <c r="H324" s="18">
        <v>15</v>
      </c>
      <c r="I324" s="9">
        <v>60.85</v>
      </c>
      <c r="J324" s="9">
        <v>920.16</v>
      </c>
      <c r="K324" s="5" t="s">
        <v>926</v>
      </c>
      <c r="L324" t="s">
        <v>1056</v>
      </c>
      <c r="M324" t="s">
        <v>60</v>
      </c>
      <c r="N324" t="s">
        <v>21</v>
      </c>
      <c r="O324">
        <v>60.85</v>
      </c>
      <c r="P324" s="5">
        <v>912.75</v>
      </c>
      <c r="Q324" s="10">
        <v>0</v>
      </c>
      <c r="R324" s="19">
        <f>Table13[[#This Row],[Units]]*Table13[[#This Row],[UnitPrice]]*(1-Table13[[#This Row],[Discount Rate]])</f>
        <v>912.75</v>
      </c>
      <c r="S324" t="s">
        <v>1058</v>
      </c>
      <c r="T324">
        <f>IF(Table13[[#This Row],[Returned]]="N",0,1)</f>
        <v>0</v>
      </c>
    </row>
    <row r="325" spans="1:20" x14ac:dyDescent="0.35">
      <c r="A325">
        <v>20323</v>
      </c>
      <c r="B325" s="11">
        <v>45322</v>
      </c>
      <c r="C325" t="s">
        <v>652</v>
      </c>
      <c r="D325" t="s">
        <v>41</v>
      </c>
      <c r="E325" t="s">
        <v>42</v>
      </c>
      <c r="F325" t="s">
        <v>17</v>
      </c>
      <c r="G325" t="s">
        <v>43</v>
      </c>
      <c r="H325" s="18">
        <v>15</v>
      </c>
      <c r="I325" s="9">
        <v>191.03</v>
      </c>
      <c r="J325" s="9">
        <v>2865</v>
      </c>
      <c r="K325" s="5" t="s">
        <v>929</v>
      </c>
      <c r="L325" t="s">
        <v>1056</v>
      </c>
      <c r="M325" t="s">
        <v>30</v>
      </c>
      <c r="N325" t="s">
        <v>21</v>
      </c>
      <c r="O325">
        <v>191.03</v>
      </c>
      <c r="P325" s="5">
        <v>2865.45</v>
      </c>
      <c r="Q325" s="10">
        <v>0</v>
      </c>
      <c r="R325" s="19">
        <f>Table13[[#This Row],[Units]]*Table13[[#This Row],[UnitPrice]]*(1-Table13[[#This Row],[Discount Rate]])</f>
        <v>2865.45</v>
      </c>
      <c r="S325" t="s">
        <v>1058</v>
      </c>
      <c r="T325">
        <f>IF(Table13[[#This Row],[Returned]]="N",0,1)</f>
        <v>0</v>
      </c>
    </row>
    <row r="326" spans="1:20" x14ac:dyDescent="0.35">
      <c r="A326">
        <v>20324</v>
      </c>
      <c r="B326" s="11">
        <v>45359</v>
      </c>
      <c r="C326" t="s">
        <v>225</v>
      </c>
      <c r="D326" t="s">
        <v>113</v>
      </c>
      <c r="E326" t="s">
        <v>34</v>
      </c>
      <c r="F326" t="s">
        <v>26</v>
      </c>
      <c r="G326" t="s">
        <v>76</v>
      </c>
      <c r="H326" s="18">
        <v>16</v>
      </c>
      <c r="I326" s="9">
        <v>435.55</v>
      </c>
      <c r="J326" s="9">
        <v>6271.92</v>
      </c>
      <c r="K326" s="5" t="s">
        <v>931</v>
      </c>
      <c r="L326" t="s">
        <v>72</v>
      </c>
      <c r="M326" t="s">
        <v>30</v>
      </c>
      <c r="N326" t="s">
        <v>151</v>
      </c>
      <c r="O326">
        <v>435.55</v>
      </c>
      <c r="P326" s="5">
        <v>6271.92</v>
      </c>
      <c r="Q326" s="10">
        <v>0.1</v>
      </c>
      <c r="R326" s="19">
        <f>Table13[[#This Row],[Units]]*Table13[[#This Row],[UnitPrice]]*(1-Table13[[#This Row],[Discount Rate]])</f>
        <v>6271.92</v>
      </c>
      <c r="S326" t="s">
        <v>1058</v>
      </c>
      <c r="T326">
        <f>IF(Table13[[#This Row],[Returned]]="N",0,1)</f>
        <v>1</v>
      </c>
    </row>
    <row r="327" spans="1:20" x14ac:dyDescent="0.35">
      <c r="A327">
        <v>20325</v>
      </c>
      <c r="B327" s="11">
        <v>45292</v>
      </c>
      <c r="C327" t="s">
        <v>225</v>
      </c>
      <c r="D327" t="s">
        <v>89</v>
      </c>
      <c r="E327" t="s">
        <v>50</v>
      </c>
      <c r="F327" t="s">
        <v>17</v>
      </c>
      <c r="G327" t="s">
        <v>27</v>
      </c>
      <c r="H327" s="18">
        <v>12</v>
      </c>
      <c r="I327" s="9">
        <v>443.05</v>
      </c>
      <c r="J327" s="9">
        <v>5317</v>
      </c>
      <c r="K327" s="5" t="s">
        <v>933</v>
      </c>
      <c r="L327" t="s">
        <v>1056</v>
      </c>
      <c r="M327" t="s">
        <v>30</v>
      </c>
      <c r="N327" t="s">
        <v>21</v>
      </c>
      <c r="O327">
        <v>443.05</v>
      </c>
      <c r="P327" s="5">
        <v>5316.6</v>
      </c>
      <c r="Q327" s="10">
        <v>0</v>
      </c>
      <c r="R327" s="19">
        <f>Table13[[#This Row],[Units]]*Table13[[#This Row],[UnitPrice]]*(1-Table13[[#This Row],[Discount Rate]])</f>
        <v>5316.6</v>
      </c>
      <c r="S327" t="s">
        <v>1058</v>
      </c>
      <c r="T327">
        <f>IF(Table13[[#This Row],[Returned]]="N",0,1)</f>
        <v>0</v>
      </c>
    </row>
    <row r="328" spans="1:20" x14ac:dyDescent="0.35">
      <c r="A328">
        <v>20326</v>
      </c>
      <c r="B328" s="11">
        <v>45344</v>
      </c>
      <c r="C328" t="s">
        <v>96</v>
      </c>
      <c r="D328" t="s">
        <v>49</v>
      </c>
      <c r="E328" t="s">
        <v>101</v>
      </c>
      <c r="F328" t="s">
        <v>17</v>
      </c>
      <c r="G328" t="s">
        <v>35</v>
      </c>
      <c r="H328" s="18">
        <v>1</v>
      </c>
      <c r="I328" s="9">
        <v>140</v>
      </c>
      <c r="J328" s="9">
        <v>135.19999999999999</v>
      </c>
      <c r="K328" s="5" t="s">
        <v>934</v>
      </c>
      <c r="L328" t="s">
        <v>1056</v>
      </c>
      <c r="M328" t="s">
        <v>30</v>
      </c>
      <c r="N328" t="s">
        <v>21</v>
      </c>
      <c r="O328">
        <v>140</v>
      </c>
      <c r="P328" s="5">
        <v>140</v>
      </c>
      <c r="Q328" s="10">
        <v>0</v>
      </c>
      <c r="R328" s="19">
        <f>Table13[[#This Row],[Units]]*Table13[[#This Row],[UnitPrice]]*(1-Table13[[#This Row],[Discount Rate]])</f>
        <v>140</v>
      </c>
      <c r="S328" t="s">
        <v>1063</v>
      </c>
      <c r="T328">
        <f>IF(Table13[[#This Row],[Returned]]="N",0,1)</f>
        <v>0</v>
      </c>
    </row>
    <row r="329" spans="1:20" x14ac:dyDescent="0.35">
      <c r="A329">
        <v>20327</v>
      </c>
      <c r="B329" s="11">
        <v>45317</v>
      </c>
      <c r="C329" t="s">
        <v>100</v>
      </c>
      <c r="D329" t="s">
        <v>68</v>
      </c>
      <c r="E329" t="s">
        <v>25</v>
      </c>
      <c r="F329" t="s">
        <v>26</v>
      </c>
      <c r="G329" t="s">
        <v>35</v>
      </c>
      <c r="H329" s="18">
        <v>17</v>
      </c>
      <c r="I329" s="9">
        <v>123.75</v>
      </c>
      <c r="J329" s="9">
        <v>1893.39</v>
      </c>
      <c r="K329" s="5" t="s">
        <v>936</v>
      </c>
      <c r="L329" t="s">
        <v>72</v>
      </c>
      <c r="M329" t="s">
        <v>60</v>
      </c>
      <c r="N329" t="s">
        <v>21</v>
      </c>
      <c r="O329">
        <v>123.75</v>
      </c>
      <c r="P329" s="5">
        <v>1893.375</v>
      </c>
      <c r="Q329" s="10">
        <v>0.1</v>
      </c>
      <c r="R329" s="19">
        <f>Table13[[#This Row],[Units]]*Table13[[#This Row],[UnitPrice]]*(1-Table13[[#This Row],[Discount Rate]])</f>
        <v>1893.375</v>
      </c>
      <c r="S329" t="s">
        <v>1058</v>
      </c>
      <c r="T329">
        <f>IF(Table13[[#This Row],[Returned]]="N",0,1)</f>
        <v>0</v>
      </c>
    </row>
    <row r="330" spans="1:20" x14ac:dyDescent="0.35">
      <c r="A330">
        <v>20328</v>
      </c>
      <c r="B330" s="11">
        <v>45371</v>
      </c>
      <c r="C330" t="s">
        <v>225</v>
      </c>
      <c r="D330" t="s">
        <v>113</v>
      </c>
      <c r="E330" t="s">
        <v>107</v>
      </c>
      <c r="F330" t="s">
        <v>26</v>
      </c>
      <c r="G330" t="s">
        <v>35</v>
      </c>
      <c r="H330" s="18">
        <v>13</v>
      </c>
      <c r="I330" s="9">
        <v>280</v>
      </c>
      <c r="J330" s="9">
        <v>3807.3</v>
      </c>
      <c r="K330" s="5" t="s">
        <v>937</v>
      </c>
      <c r="L330" t="s">
        <v>1056</v>
      </c>
      <c r="M330" t="s">
        <v>60</v>
      </c>
      <c r="N330" t="s">
        <v>151</v>
      </c>
      <c r="O330">
        <v>280</v>
      </c>
      <c r="P330" s="5">
        <v>3640</v>
      </c>
      <c r="Q330" s="10">
        <v>0</v>
      </c>
      <c r="R330" s="19">
        <f>Table13[[#This Row],[Units]]*Table13[[#This Row],[UnitPrice]]*(1-Table13[[#This Row],[Discount Rate]])</f>
        <v>3640</v>
      </c>
      <c r="S330" t="s">
        <v>1058</v>
      </c>
      <c r="T330">
        <f>IF(Table13[[#This Row],[Returned]]="N",0,1)</f>
        <v>1</v>
      </c>
    </row>
    <row r="331" spans="1:20" x14ac:dyDescent="0.35">
      <c r="A331">
        <v>20329</v>
      </c>
      <c r="B331" s="11">
        <v>45317</v>
      </c>
      <c r="C331" t="s">
        <v>23</v>
      </c>
      <c r="D331" t="s">
        <v>177</v>
      </c>
      <c r="E331" t="s">
        <v>16</v>
      </c>
      <c r="F331" t="s">
        <v>17</v>
      </c>
      <c r="G331" t="s">
        <v>57</v>
      </c>
      <c r="H331" s="18">
        <v>4</v>
      </c>
      <c r="I331" s="9">
        <v>35.020000000000003</v>
      </c>
      <c r="J331" s="9">
        <v>140.07</v>
      </c>
      <c r="K331" s="5" t="s">
        <v>939</v>
      </c>
      <c r="L331" t="s">
        <v>1056</v>
      </c>
      <c r="M331" t="s">
        <v>30</v>
      </c>
      <c r="N331" t="s">
        <v>21</v>
      </c>
      <c r="O331">
        <v>35.020000000000003</v>
      </c>
      <c r="P331" s="5">
        <v>140.08000000000001</v>
      </c>
      <c r="Q331" s="10">
        <v>0</v>
      </c>
      <c r="R331" s="19">
        <f>Table13[[#This Row],[Units]]*Table13[[#This Row],[UnitPrice]]*(1-Table13[[#This Row],[Discount Rate]])</f>
        <v>140.08000000000001</v>
      </c>
      <c r="S331" t="s">
        <v>1058</v>
      </c>
      <c r="T331">
        <f>IF(Table13[[#This Row],[Returned]]="N",0,1)</f>
        <v>0</v>
      </c>
    </row>
    <row r="332" spans="1:20" x14ac:dyDescent="0.35">
      <c r="A332">
        <v>20330</v>
      </c>
      <c r="B332" s="11">
        <v>45304</v>
      </c>
      <c r="C332" t="s">
        <v>84</v>
      </c>
      <c r="D332" t="s">
        <v>170</v>
      </c>
      <c r="E332" t="s">
        <v>107</v>
      </c>
      <c r="F332" t="s">
        <v>26</v>
      </c>
      <c r="G332" t="s">
        <v>43</v>
      </c>
      <c r="H332" s="18">
        <v>11</v>
      </c>
      <c r="I332" s="9">
        <v>272</v>
      </c>
      <c r="J332" s="9">
        <v>2995.96</v>
      </c>
      <c r="K332" s="5" t="s">
        <v>941</v>
      </c>
      <c r="L332" t="s">
        <v>1056</v>
      </c>
      <c r="M332" t="s">
        <v>60</v>
      </c>
      <c r="N332" t="s">
        <v>21</v>
      </c>
      <c r="O332">
        <v>272</v>
      </c>
      <c r="P332" s="5">
        <v>2992</v>
      </c>
      <c r="Q332" s="10">
        <v>0</v>
      </c>
      <c r="R332" s="19">
        <f>Table13[[#This Row],[Units]]*Table13[[#This Row],[UnitPrice]]*(1-Table13[[#This Row],[Discount Rate]])</f>
        <v>2992</v>
      </c>
      <c r="S332" t="s">
        <v>1058</v>
      </c>
      <c r="T332">
        <f>IF(Table13[[#This Row],[Returned]]="N",0,1)</f>
        <v>0</v>
      </c>
    </row>
    <row r="333" spans="1:20" x14ac:dyDescent="0.35">
      <c r="A333">
        <v>20331</v>
      </c>
      <c r="B333" s="11">
        <v>45316</v>
      </c>
      <c r="C333" t="s">
        <v>23</v>
      </c>
      <c r="D333" t="s">
        <v>15</v>
      </c>
      <c r="E333" t="s">
        <v>25</v>
      </c>
      <c r="F333" t="s">
        <v>26</v>
      </c>
      <c r="G333" t="s">
        <v>18</v>
      </c>
      <c r="H333" s="18">
        <v>19</v>
      </c>
      <c r="I333" s="9">
        <v>116.92</v>
      </c>
      <c r="J333" s="9">
        <v>2221.4499999999998</v>
      </c>
      <c r="K333" s="5" t="s">
        <v>944</v>
      </c>
      <c r="L333" t="s">
        <v>1056</v>
      </c>
      <c r="M333" t="s">
        <v>30</v>
      </c>
      <c r="N333" t="s">
        <v>21</v>
      </c>
      <c r="O333">
        <v>116.92</v>
      </c>
      <c r="P333" s="5">
        <v>2221.48</v>
      </c>
      <c r="Q333" s="10">
        <v>0</v>
      </c>
      <c r="R333" s="19">
        <f>Table13[[#This Row],[Units]]*Table13[[#This Row],[UnitPrice]]*(1-Table13[[#This Row],[Discount Rate]])</f>
        <v>2221.48</v>
      </c>
      <c r="S333" t="s">
        <v>1058</v>
      </c>
      <c r="T333">
        <f>IF(Table13[[#This Row],[Returned]]="N",0,1)</f>
        <v>0</v>
      </c>
    </row>
    <row r="334" spans="1:20" x14ac:dyDescent="0.35">
      <c r="A334">
        <v>20332</v>
      </c>
      <c r="B334" s="11">
        <v>45381</v>
      </c>
      <c r="C334" t="s">
        <v>96</v>
      </c>
      <c r="D334" t="s">
        <v>314</v>
      </c>
      <c r="E334" t="s">
        <v>56</v>
      </c>
      <c r="F334" t="s">
        <v>17</v>
      </c>
      <c r="G334" t="s">
        <v>76</v>
      </c>
      <c r="H334" s="18">
        <v>9</v>
      </c>
      <c r="I334" s="9">
        <v>894.09</v>
      </c>
      <c r="J334" s="9">
        <v>6437.45</v>
      </c>
      <c r="K334" s="5" t="s">
        <v>947</v>
      </c>
      <c r="L334" t="s">
        <v>116</v>
      </c>
      <c r="M334" t="s">
        <v>30</v>
      </c>
      <c r="N334" t="s">
        <v>21</v>
      </c>
      <c r="O334">
        <v>894.09</v>
      </c>
      <c r="P334" s="5">
        <v>6437.4480000000003</v>
      </c>
      <c r="Q334" s="10">
        <v>0.2</v>
      </c>
      <c r="R334" s="19">
        <f>Table13[[#This Row],[Units]]*Table13[[#This Row],[UnitPrice]]*(1-Table13[[#This Row],[Discount Rate]])</f>
        <v>6437.4480000000003</v>
      </c>
      <c r="S334" t="s">
        <v>1058</v>
      </c>
      <c r="T334">
        <f>IF(Table13[[#This Row],[Returned]]="N",0,1)</f>
        <v>0</v>
      </c>
    </row>
    <row r="335" spans="1:20" x14ac:dyDescent="0.35">
      <c r="A335">
        <v>20333</v>
      </c>
      <c r="B335" s="11">
        <v>45382</v>
      </c>
      <c r="C335" t="s">
        <v>23</v>
      </c>
      <c r="D335" t="s">
        <v>177</v>
      </c>
      <c r="E335" t="s">
        <v>34</v>
      </c>
      <c r="F335" t="s">
        <v>26</v>
      </c>
      <c r="G335" t="s">
        <v>27</v>
      </c>
      <c r="H335" s="18">
        <v>19</v>
      </c>
      <c r="I335" s="9">
        <v>410.27</v>
      </c>
      <c r="J335" s="9">
        <v>7015.59</v>
      </c>
      <c r="K335" s="5" t="s">
        <v>950</v>
      </c>
      <c r="L335" t="s">
        <v>72</v>
      </c>
      <c r="M335" t="s">
        <v>60</v>
      </c>
      <c r="N335" t="s">
        <v>21</v>
      </c>
      <c r="O335">
        <v>410.27</v>
      </c>
      <c r="P335" s="5">
        <v>7015.6169999999993</v>
      </c>
      <c r="Q335" s="10">
        <v>0.1</v>
      </c>
      <c r="R335" s="19">
        <f>Table13[[#This Row],[Units]]*Table13[[#This Row],[UnitPrice]]*(1-Table13[[#This Row],[Discount Rate]])</f>
        <v>7015.6169999999993</v>
      </c>
      <c r="S335" t="s">
        <v>1058</v>
      </c>
      <c r="T335">
        <f>IF(Table13[[#This Row],[Returned]]="N",0,1)</f>
        <v>0</v>
      </c>
    </row>
    <row r="336" spans="1:20" x14ac:dyDescent="0.35">
      <c r="A336">
        <v>20334</v>
      </c>
      <c r="B336" s="11">
        <v>45293</v>
      </c>
      <c r="C336" t="s">
        <v>23</v>
      </c>
      <c r="D336" t="s">
        <v>24</v>
      </c>
      <c r="E336" t="s">
        <v>42</v>
      </c>
      <c r="F336" t="s">
        <v>17</v>
      </c>
      <c r="G336" t="s">
        <v>35</v>
      </c>
      <c r="H336" s="18">
        <v>8</v>
      </c>
      <c r="I336" s="9">
        <v>188.4</v>
      </c>
      <c r="J336" s="9">
        <v>1281.1099999999999</v>
      </c>
      <c r="K336" s="5" t="s">
        <v>952</v>
      </c>
      <c r="L336" t="s">
        <v>220</v>
      </c>
      <c r="M336" t="s">
        <v>30</v>
      </c>
      <c r="N336" t="s">
        <v>21</v>
      </c>
      <c r="O336">
        <v>188.4</v>
      </c>
      <c r="P336" s="5">
        <v>1281.1200000000001</v>
      </c>
      <c r="Q336" s="10">
        <v>0.15</v>
      </c>
      <c r="R336" s="19">
        <f>Table13[[#This Row],[Units]]*Table13[[#This Row],[UnitPrice]]*(1-Table13[[#This Row],[Discount Rate]])</f>
        <v>1281.1200000000001</v>
      </c>
      <c r="S336" t="s">
        <v>1058</v>
      </c>
      <c r="T336">
        <f>IF(Table13[[#This Row],[Returned]]="N",0,1)</f>
        <v>0</v>
      </c>
    </row>
    <row r="337" spans="1:20" x14ac:dyDescent="0.35">
      <c r="A337">
        <v>20335</v>
      </c>
      <c r="B337" s="11">
        <v>45355</v>
      </c>
      <c r="C337" t="s">
        <v>225</v>
      </c>
      <c r="D337" t="s">
        <v>113</v>
      </c>
      <c r="E337" t="s">
        <v>34</v>
      </c>
      <c r="F337" t="s">
        <v>26</v>
      </c>
      <c r="G337" t="s">
        <v>57</v>
      </c>
      <c r="H337" s="18">
        <v>20</v>
      </c>
      <c r="I337" s="9">
        <v>446.62</v>
      </c>
      <c r="J337" s="9">
        <v>8932.2999999999993</v>
      </c>
      <c r="K337" s="5" t="s">
        <v>954</v>
      </c>
      <c r="L337" t="s">
        <v>1056</v>
      </c>
      <c r="M337" t="s">
        <v>30</v>
      </c>
      <c r="N337" t="s">
        <v>21</v>
      </c>
      <c r="O337">
        <v>446.62</v>
      </c>
      <c r="P337" s="5">
        <v>8932.4</v>
      </c>
      <c r="Q337" s="10">
        <v>0</v>
      </c>
      <c r="R337" s="19">
        <f>Table13[[#This Row],[Units]]*Table13[[#This Row],[UnitPrice]]*(1-Table13[[#This Row],[Discount Rate]])</f>
        <v>8932.4</v>
      </c>
      <c r="S337" t="s">
        <v>1058</v>
      </c>
      <c r="T337">
        <f>IF(Table13[[#This Row],[Returned]]="N",0,1)</f>
        <v>0</v>
      </c>
    </row>
    <row r="338" spans="1:20" x14ac:dyDescent="0.35">
      <c r="A338">
        <v>20336</v>
      </c>
      <c r="B338" s="11">
        <v>45294</v>
      </c>
      <c r="C338" t="s">
        <v>84</v>
      </c>
      <c r="D338" t="s">
        <v>170</v>
      </c>
      <c r="E338" t="s">
        <v>56</v>
      </c>
      <c r="F338" t="s">
        <v>17</v>
      </c>
      <c r="G338" t="s">
        <v>18</v>
      </c>
      <c r="H338" s="18">
        <v>13</v>
      </c>
      <c r="I338" s="9">
        <v>796.93</v>
      </c>
      <c r="J338" s="9">
        <v>10360.14</v>
      </c>
      <c r="K338" s="5" t="s">
        <v>957</v>
      </c>
      <c r="L338" t="s">
        <v>1056</v>
      </c>
      <c r="M338" t="s">
        <v>30</v>
      </c>
      <c r="N338" t="s">
        <v>21</v>
      </c>
      <c r="O338">
        <v>796.93</v>
      </c>
      <c r="P338" s="5">
        <v>10360.09</v>
      </c>
      <c r="Q338" s="10">
        <v>0</v>
      </c>
      <c r="R338" s="19">
        <f>Table13[[#This Row],[Units]]*Table13[[#This Row],[UnitPrice]]*(1-Table13[[#This Row],[Discount Rate]])</f>
        <v>10360.09</v>
      </c>
      <c r="S338" t="s">
        <v>1058</v>
      </c>
      <c r="T338">
        <f>IF(Table13[[#This Row],[Returned]]="N",0,1)</f>
        <v>0</v>
      </c>
    </row>
    <row r="339" spans="1:20" x14ac:dyDescent="0.35">
      <c r="A339">
        <v>20337</v>
      </c>
      <c r="B339" s="11">
        <v>45361</v>
      </c>
      <c r="C339" t="s">
        <v>23</v>
      </c>
      <c r="D339" t="s">
        <v>24</v>
      </c>
      <c r="E339" t="s">
        <v>42</v>
      </c>
      <c r="F339" t="s">
        <v>17</v>
      </c>
      <c r="G339" t="s">
        <v>57</v>
      </c>
      <c r="H339" s="18">
        <v>1</v>
      </c>
      <c r="I339" s="9">
        <v>184.25</v>
      </c>
      <c r="J339" s="9">
        <v>165.83</v>
      </c>
      <c r="K339" s="5" t="s">
        <v>960</v>
      </c>
      <c r="L339" t="s">
        <v>72</v>
      </c>
      <c r="M339" t="s">
        <v>30</v>
      </c>
      <c r="N339" t="s">
        <v>21</v>
      </c>
      <c r="O339">
        <v>184.25</v>
      </c>
      <c r="P339" s="5">
        <v>165.82500000000002</v>
      </c>
      <c r="Q339" s="10">
        <v>0.1</v>
      </c>
      <c r="R339" s="19">
        <f>Table13[[#This Row],[Units]]*Table13[[#This Row],[UnitPrice]]*(1-Table13[[#This Row],[Discount Rate]])</f>
        <v>165.82500000000002</v>
      </c>
      <c r="S339" t="s">
        <v>1058</v>
      </c>
      <c r="T339">
        <f>IF(Table13[[#This Row],[Returned]]="N",0,1)</f>
        <v>0</v>
      </c>
    </row>
    <row r="340" spans="1:20" x14ac:dyDescent="0.35">
      <c r="A340">
        <v>20338</v>
      </c>
      <c r="B340" s="11">
        <v>45301</v>
      </c>
      <c r="C340" t="s">
        <v>84</v>
      </c>
      <c r="D340" t="s">
        <v>55</v>
      </c>
      <c r="E340" t="s">
        <v>56</v>
      </c>
      <c r="F340" t="s">
        <v>17</v>
      </c>
      <c r="G340" t="s">
        <v>43</v>
      </c>
      <c r="H340" s="18">
        <v>14</v>
      </c>
      <c r="I340" s="9">
        <v>876.41</v>
      </c>
      <c r="J340" s="9">
        <v>12269.77</v>
      </c>
      <c r="K340" s="5" t="s">
        <v>962</v>
      </c>
      <c r="L340" t="s">
        <v>1056</v>
      </c>
      <c r="M340" t="s">
        <v>60</v>
      </c>
      <c r="N340" t="s">
        <v>21</v>
      </c>
      <c r="O340">
        <v>876.41</v>
      </c>
      <c r="P340" s="5">
        <v>12269.74</v>
      </c>
      <c r="Q340" s="10">
        <v>0</v>
      </c>
      <c r="R340" s="19">
        <f>Table13[[#This Row],[Units]]*Table13[[#This Row],[UnitPrice]]*(1-Table13[[#This Row],[Discount Rate]])</f>
        <v>12269.74</v>
      </c>
      <c r="S340" t="s">
        <v>1058</v>
      </c>
      <c r="T340">
        <f>IF(Table13[[#This Row],[Returned]]="N",0,1)</f>
        <v>0</v>
      </c>
    </row>
    <row r="341" spans="1:20" x14ac:dyDescent="0.35">
      <c r="A341">
        <v>20339</v>
      </c>
      <c r="B341" s="11">
        <v>45310</v>
      </c>
      <c r="C341" t="s">
        <v>225</v>
      </c>
      <c r="D341" t="s">
        <v>113</v>
      </c>
      <c r="E341" t="s">
        <v>85</v>
      </c>
      <c r="F341" t="s">
        <v>17</v>
      </c>
      <c r="G341" t="s">
        <v>18</v>
      </c>
      <c r="H341" s="18">
        <v>24</v>
      </c>
      <c r="I341" s="9">
        <v>67.430000000000007</v>
      </c>
      <c r="J341" s="9">
        <v>1294.72</v>
      </c>
      <c r="K341" s="5" t="s">
        <v>965</v>
      </c>
      <c r="L341" t="s">
        <v>116</v>
      </c>
      <c r="M341" t="s">
        <v>60</v>
      </c>
      <c r="N341" t="s">
        <v>21</v>
      </c>
      <c r="O341">
        <v>67.430000000000007</v>
      </c>
      <c r="P341" s="5">
        <v>1294.6560000000002</v>
      </c>
      <c r="Q341" s="10">
        <v>0.2</v>
      </c>
      <c r="R341" s="19">
        <f>Table13[[#This Row],[Units]]*Table13[[#This Row],[UnitPrice]]*(1-Table13[[#This Row],[Discount Rate]])</f>
        <v>1294.6560000000002</v>
      </c>
      <c r="S341" t="s">
        <v>1058</v>
      </c>
      <c r="T341">
        <f>IF(Table13[[#This Row],[Returned]]="N",0,1)</f>
        <v>0</v>
      </c>
    </row>
    <row r="342" spans="1:20" x14ac:dyDescent="0.35">
      <c r="A342">
        <v>20340</v>
      </c>
      <c r="B342" s="11">
        <v>45360</v>
      </c>
      <c r="C342" t="s">
        <v>96</v>
      </c>
      <c r="D342" t="s">
        <v>49</v>
      </c>
      <c r="E342" t="s">
        <v>142</v>
      </c>
      <c r="F342" t="s">
        <v>17</v>
      </c>
      <c r="G342" t="s">
        <v>57</v>
      </c>
      <c r="H342" s="18">
        <v>15</v>
      </c>
      <c r="I342" s="9">
        <v>174.69</v>
      </c>
      <c r="J342" s="9">
        <v>2620.41</v>
      </c>
      <c r="K342" s="5" t="s">
        <v>968</v>
      </c>
      <c r="L342" t="s">
        <v>1056</v>
      </c>
      <c r="M342" t="s">
        <v>60</v>
      </c>
      <c r="N342" t="s">
        <v>21</v>
      </c>
      <c r="O342">
        <v>174.69</v>
      </c>
      <c r="P342" s="5">
        <v>2620.35</v>
      </c>
      <c r="Q342" s="10">
        <v>0</v>
      </c>
      <c r="R342" s="19">
        <f>Table13[[#This Row],[Units]]*Table13[[#This Row],[UnitPrice]]*(1-Table13[[#This Row],[Discount Rate]])</f>
        <v>2620.35</v>
      </c>
      <c r="S342" t="s">
        <v>1058</v>
      </c>
      <c r="T342">
        <f>IF(Table13[[#This Row],[Returned]]="N",0,1)</f>
        <v>0</v>
      </c>
    </row>
    <row r="343" spans="1:20" x14ac:dyDescent="0.35">
      <c r="A343">
        <v>20341</v>
      </c>
      <c r="B343" s="11">
        <v>45323</v>
      </c>
      <c r="C343" t="s">
        <v>100</v>
      </c>
      <c r="D343" t="s">
        <v>33</v>
      </c>
      <c r="E343" t="s">
        <v>50</v>
      </c>
      <c r="F343" t="s">
        <v>17</v>
      </c>
      <c r="G343" t="s">
        <v>57</v>
      </c>
      <c r="H343" s="18">
        <v>18</v>
      </c>
      <c r="I343" s="9">
        <v>491</v>
      </c>
      <c r="J343" s="9">
        <v>8841.34</v>
      </c>
      <c r="K343" s="5" t="s">
        <v>969</v>
      </c>
      <c r="L343" t="s">
        <v>1056</v>
      </c>
      <c r="M343" t="s">
        <v>60</v>
      </c>
      <c r="N343" t="s">
        <v>21</v>
      </c>
      <c r="O343">
        <v>491</v>
      </c>
      <c r="P343" s="5">
        <v>8838</v>
      </c>
      <c r="Q343" s="10">
        <v>0</v>
      </c>
      <c r="R343" s="19">
        <f>Table13[[#This Row],[Units]]*Table13[[#This Row],[UnitPrice]]*(1-Table13[[#This Row],[Discount Rate]])</f>
        <v>8838</v>
      </c>
      <c r="S343" t="s">
        <v>1058</v>
      </c>
      <c r="T343">
        <f>IF(Table13[[#This Row],[Returned]]="N",0,1)</f>
        <v>0</v>
      </c>
    </row>
    <row r="344" spans="1:20" x14ac:dyDescent="0.35">
      <c r="A344">
        <v>20342</v>
      </c>
      <c r="B344" s="11">
        <v>45330</v>
      </c>
      <c r="C344" t="s">
        <v>652</v>
      </c>
      <c r="D344" t="s">
        <v>121</v>
      </c>
      <c r="E344" t="s">
        <v>142</v>
      </c>
      <c r="F344" t="s">
        <v>17</v>
      </c>
      <c r="G344" t="s">
        <v>76</v>
      </c>
      <c r="H344" s="18">
        <v>4</v>
      </c>
      <c r="I344" s="9">
        <v>164.66</v>
      </c>
      <c r="J344" s="9">
        <v>526.9</v>
      </c>
      <c r="K344" s="5" t="s">
        <v>971</v>
      </c>
      <c r="L344" t="s">
        <v>116</v>
      </c>
      <c r="M344" t="s">
        <v>30</v>
      </c>
      <c r="N344" t="s">
        <v>21</v>
      </c>
      <c r="O344">
        <v>164.66</v>
      </c>
      <c r="P344" s="5">
        <v>526.91200000000003</v>
      </c>
      <c r="Q344" s="10">
        <v>0.2</v>
      </c>
      <c r="R344" s="19">
        <f>Table13[[#This Row],[Units]]*Table13[[#This Row],[UnitPrice]]*(1-Table13[[#This Row],[Discount Rate]])</f>
        <v>526.91200000000003</v>
      </c>
      <c r="S344" t="s">
        <v>1058</v>
      </c>
      <c r="T344">
        <f>IF(Table13[[#This Row],[Returned]]="N",0,1)</f>
        <v>0</v>
      </c>
    </row>
    <row r="345" spans="1:20" x14ac:dyDescent="0.35">
      <c r="A345">
        <v>20343</v>
      </c>
      <c r="B345" s="11">
        <v>45340</v>
      </c>
      <c r="C345" t="s">
        <v>23</v>
      </c>
      <c r="D345" t="s">
        <v>75</v>
      </c>
      <c r="E345" t="s">
        <v>34</v>
      </c>
      <c r="F345" t="s">
        <v>126</v>
      </c>
      <c r="G345" t="s">
        <v>27</v>
      </c>
      <c r="H345" s="18">
        <v>17</v>
      </c>
      <c r="I345" s="9">
        <v>447.95</v>
      </c>
      <c r="J345" s="9">
        <v>7615.07</v>
      </c>
      <c r="K345" s="5" t="s">
        <v>973</v>
      </c>
      <c r="L345" t="s">
        <v>1056</v>
      </c>
      <c r="M345" t="s">
        <v>60</v>
      </c>
      <c r="N345" t="s">
        <v>21</v>
      </c>
      <c r="O345">
        <v>447.95</v>
      </c>
      <c r="P345" s="5">
        <v>7615.15</v>
      </c>
      <c r="Q345" s="10">
        <v>0</v>
      </c>
      <c r="R345" s="19">
        <f>Table13[[#This Row],[Units]]*Table13[[#This Row],[UnitPrice]]*(1-Table13[[#This Row],[Discount Rate]])</f>
        <v>7615.15</v>
      </c>
      <c r="S345" t="s">
        <v>1058</v>
      </c>
      <c r="T345">
        <f>IF(Table13[[#This Row],[Returned]]="N",0,1)</f>
        <v>0</v>
      </c>
    </row>
    <row r="346" spans="1:20" x14ac:dyDescent="0.35">
      <c r="A346">
        <v>20344</v>
      </c>
      <c r="B346" s="11">
        <v>45331</v>
      </c>
      <c r="C346" t="s">
        <v>96</v>
      </c>
      <c r="D346" t="s">
        <v>49</v>
      </c>
      <c r="E346" t="s">
        <v>69</v>
      </c>
      <c r="F346" t="s">
        <v>26</v>
      </c>
      <c r="G346" t="s">
        <v>43</v>
      </c>
      <c r="H346" s="18">
        <v>14</v>
      </c>
      <c r="I346" s="9">
        <v>36.03</v>
      </c>
      <c r="J346" s="9">
        <v>504.37</v>
      </c>
      <c r="K346" s="5" t="s">
        <v>976</v>
      </c>
      <c r="L346" t="s">
        <v>1056</v>
      </c>
      <c r="M346" t="s">
        <v>30</v>
      </c>
      <c r="N346" t="s">
        <v>21</v>
      </c>
      <c r="O346">
        <v>36.03</v>
      </c>
      <c r="P346" s="5">
        <v>504.42</v>
      </c>
      <c r="Q346" s="10">
        <v>0</v>
      </c>
      <c r="R346" s="19">
        <f>Table13[[#This Row],[Units]]*Table13[[#This Row],[UnitPrice]]*(1-Table13[[#This Row],[Discount Rate]])</f>
        <v>504.42</v>
      </c>
      <c r="S346" t="s">
        <v>1058</v>
      </c>
      <c r="T346">
        <f>IF(Table13[[#This Row],[Returned]]="N",0,1)</f>
        <v>0</v>
      </c>
    </row>
    <row r="347" spans="1:20" x14ac:dyDescent="0.35">
      <c r="A347">
        <v>20345</v>
      </c>
      <c r="B347" s="11">
        <v>45367</v>
      </c>
      <c r="C347" t="s">
        <v>84</v>
      </c>
      <c r="D347" t="s">
        <v>170</v>
      </c>
      <c r="E347" t="s">
        <v>56</v>
      </c>
      <c r="F347" t="s">
        <v>395</v>
      </c>
      <c r="G347" t="s">
        <v>35</v>
      </c>
      <c r="H347" s="18">
        <v>14</v>
      </c>
      <c r="I347" s="9">
        <v>893</v>
      </c>
      <c r="J347" s="9">
        <v>11874.05</v>
      </c>
      <c r="K347" s="5" t="s">
        <v>978</v>
      </c>
      <c r="L347" t="s">
        <v>104</v>
      </c>
      <c r="M347" t="s">
        <v>60</v>
      </c>
      <c r="N347" t="s">
        <v>21</v>
      </c>
      <c r="O347">
        <v>893</v>
      </c>
      <c r="P347" s="5">
        <v>11876.9</v>
      </c>
      <c r="Q347" s="10">
        <v>0.05</v>
      </c>
      <c r="R347" s="19">
        <f>Table13[[#This Row],[Units]]*Table13[[#This Row],[UnitPrice]]*(1-Table13[[#This Row],[Discount Rate]])</f>
        <v>11876.9</v>
      </c>
      <c r="S347" t="s">
        <v>1058</v>
      </c>
      <c r="T347">
        <f>IF(Table13[[#This Row],[Returned]]="N",0,1)</f>
        <v>0</v>
      </c>
    </row>
    <row r="348" spans="1:20" x14ac:dyDescent="0.35">
      <c r="A348">
        <v>20346</v>
      </c>
      <c r="B348" s="11">
        <v>45297</v>
      </c>
      <c r="C348" t="s">
        <v>652</v>
      </c>
      <c r="D348" t="s">
        <v>121</v>
      </c>
      <c r="E348" t="s">
        <v>142</v>
      </c>
      <c r="F348" t="s">
        <v>17</v>
      </c>
      <c r="G348" t="s">
        <v>35</v>
      </c>
      <c r="H348" s="18">
        <v>5</v>
      </c>
      <c r="I348" s="9">
        <v>168</v>
      </c>
      <c r="J348" s="9">
        <v>838.99</v>
      </c>
      <c r="K348" s="5" t="s">
        <v>980</v>
      </c>
      <c r="L348" t="s">
        <v>1056</v>
      </c>
      <c r="M348" t="s">
        <v>30</v>
      </c>
      <c r="N348" t="s">
        <v>21</v>
      </c>
      <c r="O348">
        <v>168</v>
      </c>
      <c r="P348" s="5">
        <v>840</v>
      </c>
      <c r="Q348" s="10">
        <v>0</v>
      </c>
      <c r="R348" s="19">
        <f>Table13[[#This Row],[Units]]*Table13[[#This Row],[UnitPrice]]*(1-Table13[[#This Row],[Discount Rate]])</f>
        <v>840</v>
      </c>
      <c r="S348" t="s">
        <v>1058</v>
      </c>
      <c r="T348">
        <f>IF(Table13[[#This Row],[Returned]]="N",0,1)</f>
        <v>0</v>
      </c>
    </row>
    <row r="349" spans="1:20" x14ac:dyDescent="0.35">
      <c r="A349">
        <v>20347</v>
      </c>
      <c r="B349" s="11">
        <v>45324</v>
      </c>
      <c r="C349" t="s">
        <v>225</v>
      </c>
      <c r="D349" t="s">
        <v>89</v>
      </c>
      <c r="E349" t="s">
        <v>56</v>
      </c>
      <c r="F349" t="s">
        <v>17</v>
      </c>
      <c r="G349" t="s">
        <v>35</v>
      </c>
      <c r="H349" s="18">
        <v>18</v>
      </c>
      <c r="I349" s="9">
        <v>901</v>
      </c>
      <c r="J349" s="9">
        <v>14588.99</v>
      </c>
      <c r="K349" s="5" t="s">
        <v>983</v>
      </c>
      <c r="L349" t="s">
        <v>72</v>
      </c>
      <c r="M349" t="s">
        <v>30</v>
      </c>
      <c r="N349" t="s">
        <v>21</v>
      </c>
      <c r="O349">
        <v>901</v>
      </c>
      <c r="P349" s="5">
        <v>14596.2</v>
      </c>
      <c r="Q349" s="10">
        <v>0.1</v>
      </c>
      <c r="R349" s="19">
        <f>Table13[[#This Row],[Units]]*Table13[[#This Row],[UnitPrice]]*(1-Table13[[#This Row],[Discount Rate]])</f>
        <v>14596.2</v>
      </c>
      <c r="S349" t="s">
        <v>1058</v>
      </c>
      <c r="T349">
        <f>IF(Table13[[#This Row],[Returned]]="N",0,1)</f>
        <v>0</v>
      </c>
    </row>
    <row r="350" spans="1:20" x14ac:dyDescent="0.35">
      <c r="A350">
        <v>20348</v>
      </c>
      <c r="B350" s="11">
        <v>45363</v>
      </c>
      <c r="C350" t="s">
        <v>23</v>
      </c>
      <c r="D350" t="s">
        <v>177</v>
      </c>
      <c r="E350" t="s">
        <v>107</v>
      </c>
      <c r="F350" t="s">
        <v>26</v>
      </c>
      <c r="G350" t="s">
        <v>18</v>
      </c>
      <c r="H350" s="18">
        <v>19</v>
      </c>
      <c r="I350" s="9">
        <v>299</v>
      </c>
      <c r="J350" s="9">
        <v>5686.91</v>
      </c>
      <c r="K350" s="5" t="s">
        <v>985</v>
      </c>
      <c r="L350" t="s">
        <v>1056</v>
      </c>
      <c r="M350" t="s">
        <v>60</v>
      </c>
      <c r="N350" t="s">
        <v>21</v>
      </c>
      <c r="O350">
        <v>299</v>
      </c>
      <c r="P350" s="5">
        <v>5681</v>
      </c>
      <c r="Q350" s="10">
        <v>0</v>
      </c>
      <c r="R350" s="19">
        <f>Table13[[#This Row],[Units]]*Table13[[#This Row],[UnitPrice]]*(1-Table13[[#This Row],[Discount Rate]])</f>
        <v>5681</v>
      </c>
      <c r="S350" t="s">
        <v>1058</v>
      </c>
      <c r="T350">
        <f>IF(Table13[[#This Row],[Returned]]="N",0,1)</f>
        <v>0</v>
      </c>
    </row>
    <row r="351" spans="1:20" x14ac:dyDescent="0.35">
      <c r="A351">
        <v>20349</v>
      </c>
      <c r="B351" s="11">
        <v>45381</v>
      </c>
      <c r="C351" t="s">
        <v>96</v>
      </c>
      <c r="D351" t="s">
        <v>49</v>
      </c>
      <c r="E351" t="s">
        <v>69</v>
      </c>
      <c r="F351" t="s">
        <v>26</v>
      </c>
      <c r="G351" t="s">
        <v>76</v>
      </c>
      <c r="H351" s="18">
        <v>15</v>
      </c>
      <c r="I351" s="9">
        <v>37.799999999999997</v>
      </c>
      <c r="J351" s="9">
        <v>567.01</v>
      </c>
      <c r="K351" s="5" t="s">
        <v>987</v>
      </c>
      <c r="L351" t="s">
        <v>1056</v>
      </c>
      <c r="M351" t="s">
        <v>30</v>
      </c>
      <c r="N351" t="s">
        <v>21</v>
      </c>
      <c r="O351">
        <v>37.799999999999997</v>
      </c>
      <c r="P351" s="5">
        <v>567</v>
      </c>
      <c r="Q351" s="10">
        <v>0</v>
      </c>
      <c r="R351" s="19">
        <f>Table13[[#This Row],[Units]]*Table13[[#This Row],[UnitPrice]]*(1-Table13[[#This Row],[Discount Rate]])</f>
        <v>567</v>
      </c>
      <c r="S351" t="s">
        <v>1058</v>
      </c>
      <c r="T351">
        <f>IF(Table13[[#This Row],[Returned]]="N",0,1)</f>
        <v>0</v>
      </c>
    </row>
  </sheetData>
  <conditionalFormatting sqref="A1:A351">
    <cfRule type="duplicateValues" dxfId="0" priority="1"/>
  </conditionalFormatting>
  <dataValidations count="1">
    <dataValidation type="list" allowBlank="1" showInputMessage="1" showErrorMessage="1" sqref="C1:C351" xr:uid="{2312FA22-63A5-42A4-AD80-7F1AFDF327E9}">
      <formula1>$C:$C</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4A09-3300-4BE7-9D79-0B46CAEC2E49}">
  <dimension ref="A1:F68"/>
  <sheetViews>
    <sheetView workbookViewId="0">
      <selection activeCell="A24" sqref="A24"/>
    </sheetView>
  </sheetViews>
  <sheetFormatPr defaultRowHeight="14.5" x14ac:dyDescent="0.35"/>
  <cols>
    <col min="1" max="1" width="12.36328125" bestFit="1" customWidth="1"/>
    <col min="2" max="2" width="18.453125" bestFit="1" customWidth="1"/>
    <col min="3" max="3" width="11.453125" bestFit="1" customWidth="1"/>
    <col min="4" max="12" width="15.26953125" bestFit="1" customWidth="1"/>
    <col min="13" max="13" width="10.7265625" bestFit="1" customWidth="1"/>
    <col min="14" max="14" width="12.453125" bestFit="1" customWidth="1"/>
    <col min="15" max="15" width="11.453125" bestFit="1" customWidth="1"/>
    <col min="16" max="16" width="18.453125" bestFit="1" customWidth="1"/>
    <col min="17" max="17" width="11.453125" bestFit="1" customWidth="1"/>
    <col min="18" max="18" width="18.453125" bestFit="1" customWidth="1"/>
    <col min="19" max="19" width="11.453125" bestFit="1" customWidth="1"/>
    <col min="20" max="20" width="18.453125" bestFit="1" customWidth="1"/>
    <col min="21" max="21" width="11.453125" bestFit="1" customWidth="1"/>
    <col min="22" max="22" width="18.453125" bestFit="1" customWidth="1"/>
    <col min="23" max="23" width="11.453125" bestFit="1" customWidth="1"/>
    <col min="24" max="24" width="18.453125" bestFit="1" customWidth="1"/>
    <col min="25" max="25" width="11.453125" bestFit="1" customWidth="1"/>
    <col min="26" max="26" width="23.26953125" bestFit="1" customWidth="1"/>
    <col min="27" max="27" width="16.26953125" bestFit="1" customWidth="1"/>
    <col min="28" max="88" width="15.26953125" bestFit="1" customWidth="1"/>
    <col min="89" max="89" width="10.7265625" bestFit="1" customWidth="1"/>
  </cols>
  <sheetData>
    <row r="1" spans="1:6" x14ac:dyDescent="0.35">
      <c r="A1" s="27" t="s">
        <v>1069</v>
      </c>
      <c r="B1" s="27"/>
      <c r="C1" s="27"/>
      <c r="D1" s="27"/>
      <c r="E1" s="27"/>
      <c r="F1" s="27"/>
    </row>
    <row r="3" spans="1:6" x14ac:dyDescent="0.35">
      <c r="A3" s="27" t="s">
        <v>1078</v>
      </c>
      <c r="B3" s="27"/>
      <c r="C3" s="27"/>
      <c r="D3" s="27"/>
    </row>
    <row r="4" spans="1:6" x14ac:dyDescent="0.35">
      <c r="A4" s="6" t="s">
        <v>1054</v>
      </c>
      <c r="B4" t="s">
        <v>1074</v>
      </c>
    </row>
    <row r="5" spans="1:6" x14ac:dyDescent="0.35">
      <c r="A5" s="7" t="s">
        <v>225</v>
      </c>
      <c r="B5" s="19">
        <v>134964.55849999998</v>
      </c>
    </row>
    <row r="6" spans="1:6" x14ac:dyDescent="0.35">
      <c r="A6" s="7" t="s">
        <v>23</v>
      </c>
      <c r="B6" s="19">
        <v>353366.3625000001</v>
      </c>
    </row>
    <row r="7" spans="1:6" x14ac:dyDescent="0.35">
      <c r="A7" s="7" t="s">
        <v>100</v>
      </c>
      <c r="B7" s="19">
        <v>162338.67500000002</v>
      </c>
    </row>
    <row r="8" spans="1:6" x14ac:dyDescent="0.35">
      <c r="A8" s="7" t="s">
        <v>96</v>
      </c>
      <c r="B8" s="19">
        <v>164539.03750000003</v>
      </c>
    </row>
    <row r="9" spans="1:6" x14ac:dyDescent="0.35">
      <c r="A9" s="7" t="s">
        <v>652</v>
      </c>
      <c r="B9" s="19">
        <v>118854.8495</v>
      </c>
    </row>
    <row r="10" spans="1:6" x14ac:dyDescent="0.35">
      <c r="A10" s="7" t="s">
        <v>84</v>
      </c>
      <c r="B10" s="19">
        <v>119507.83200000002</v>
      </c>
    </row>
    <row r="11" spans="1:6" x14ac:dyDescent="0.35">
      <c r="A11" s="7" t="s">
        <v>1055</v>
      </c>
      <c r="B11" s="19">
        <v>1053571.3150000002</v>
      </c>
    </row>
    <row r="13" spans="1:6" x14ac:dyDescent="0.35">
      <c r="A13" s="27" t="s">
        <v>1070</v>
      </c>
      <c r="B13" s="27"/>
      <c r="C13" s="27"/>
      <c r="D13" s="27"/>
    </row>
    <row r="15" spans="1:6" x14ac:dyDescent="0.35">
      <c r="A15" s="6" t="s">
        <v>1054</v>
      </c>
      <c r="B15" t="s">
        <v>1074</v>
      </c>
      <c r="C15" t="s">
        <v>1060</v>
      </c>
    </row>
    <row r="16" spans="1:6" x14ac:dyDescent="0.35">
      <c r="A16" s="7" t="s">
        <v>17</v>
      </c>
      <c r="B16" s="19">
        <v>725635.96099999989</v>
      </c>
      <c r="C16" s="18">
        <v>3086</v>
      </c>
    </row>
    <row r="17" spans="1:6" x14ac:dyDescent="0.35">
      <c r="A17" s="7" t="s">
        <v>26</v>
      </c>
      <c r="B17" s="19">
        <v>327935.35400000011</v>
      </c>
      <c r="C17" s="18">
        <v>1613</v>
      </c>
    </row>
    <row r="18" spans="1:6" x14ac:dyDescent="0.35">
      <c r="A18" s="7" t="s">
        <v>1055</v>
      </c>
      <c r="B18" s="19">
        <v>1053571.3149999999</v>
      </c>
      <c r="C18" s="18">
        <v>4699</v>
      </c>
    </row>
    <row r="22" spans="1:6" x14ac:dyDescent="0.35">
      <c r="A22" s="27" t="s">
        <v>1071</v>
      </c>
      <c r="B22" s="27"/>
      <c r="C22" s="27"/>
      <c r="D22" s="27"/>
      <c r="E22" s="27"/>
      <c r="F22" s="27"/>
    </row>
    <row r="24" spans="1:6" x14ac:dyDescent="0.35">
      <c r="A24" s="6" t="s">
        <v>1054</v>
      </c>
      <c r="B24" t="s">
        <v>1074</v>
      </c>
    </row>
    <row r="25" spans="1:6" x14ac:dyDescent="0.35">
      <c r="A25" s="7" t="s">
        <v>25</v>
      </c>
      <c r="B25" s="19">
        <v>49189.26</v>
      </c>
    </row>
    <row r="26" spans="1:6" x14ac:dyDescent="0.35">
      <c r="A26" s="7" t="s">
        <v>69</v>
      </c>
      <c r="B26" s="19">
        <v>12394.914999999999</v>
      </c>
    </row>
    <row r="27" spans="1:6" x14ac:dyDescent="0.35">
      <c r="A27" s="7" t="s">
        <v>101</v>
      </c>
      <c r="B27" s="19">
        <v>43143.726999999999</v>
      </c>
    </row>
    <row r="28" spans="1:6" x14ac:dyDescent="0.35">
      <c r="A28" s="7" t="s">
        <v>85</v>
      </c>
      <c r="B28" s="19">
        <v>30053.240999999995</v>
      </c>
    </row>
    <row r="29" spans="1:6" x14ac:dyDescent="0.35">
      <c r="A29" s="7" t="s">
        <v>16</v>
      </c>
      <c r="B29" s="19">
        <v>11560.129500000001</v>
      </c>
    </row>
    <row r="30" spans="1:6" x14ac:dyDescent="0.35">
      <c r="A30" s="7" t="s">
        <v>50</v>
      </c>
      <c r="B30" s="19">
        <v>150900.22050000002</v>
      </c>
    </row>
    <row r="31" spans="1:6" x14ac:dyDescent="0.35">
      <c r="A31" s="7" t="s">
        <v>56</v>
      </c>
      <c r="B31" s="19">
        <v>345536.45899999997</v>
      </c>
    </row>
    <row r="32" spans="1:6" x14ac:dyDescent="0.35">
      <c r="A32" s="7" t="s">
        <v>42</v>
      </c>
      <c r="B32" s="19">
        <v>72071.745999999999</v>
      </c>
    </row>
    <row r="33" spans="1:4" x14ac:dyDescent="0.35">
      <c r="A33" s="7" t="s">
        <v>107</v>
      </c>
      <c r="B33" s="19">
        <v>109432.56</v>
      </c>
    </row>
    <row r="34" spans="1:4" x14ac:dyDescent="0.35">
      <c r="A34" s="7" t="s">
        <v>142</v>
      </c>
      <c r="B34" s="19">
        <v>63990.205999999998</v>
      </c>
    </row>
    <row r="35" spans="1:4" x14ac:dyDescent="0.35">
      <c r="A35" s="7" t="s">
        <v>34</v>
      </c>
      <c r="B35" s="19">
        <v>156918.61900000001</v>
      </c>
    </row>
    <row r="36" spans="1:4" x14ac:dyDescent="0.35">
      <c r="A36" s="7" t="s">
        <v>166</v>
      </c>
      <c r="B36" s="19">
        <v>8380.232</v>
      </c>
    </row>
    <row r="37" spans="1:4" x14ac:dyDescent="0.35">
      <c r="A37" s="7" t="s">
        <v>1055</v>
      </c>
      <c r="B37" s="19">
        <v>1053571.3150000002</v>
      </c>
    </row>
    <row r="44" spans="1:4" x14ac:dyDescent="0.35">
      <c r="A44" s="27" t="s">
        <v>1072</v>
      </c>
      <c r="B44" s="27"/>
      <c r="C44" s="27"/>
      <c r="D44" s="27"/>
    </row>
    <row r="45" spans="1:4" x14ac:dyDescent="0.35">
      <c r="A45" s="20" t="s">
        <v>4</v>
      </c>
      <c r="B45" s="20" t="s">
        <v>1064</v>
      </c>
      <c r="C45" s="20" t="s">
        <v>1076</v>
      </c>
      <c r="D45" s="22" t="s">
        <v>1077</v>
      </c>
    </row>
    <row r="46" spans="1:4" x14ac:dyDescent="0.35">
      <c r="A46" s="7" t="s">
        <v>25</v>
      </c>
      <c r="B46">
        <v>30</v>
      </c>
      <c r="C46">
        <v>4</v>
      </c>
      <c r="D46" s="23">
        <f>GETPIVOTDATA("[Measures].[Sum of Returned_value]",A45,"[Table13].[Product]","[Table13].[Product].&amp;[Desk Chair]")/GETPIVOTDATA("[Measures].[Count of OrderID 2]",A45,"[Table13].[Product]","[Table13].[Product].&amp;[Desk Chair]")</f>
        <v>0.13333333333333333</v>
      </c>
    </row>
    <row r="47" spans="1:4" x14ac:dyDescent="0.35">
      <c r="A47" s="7" t="s">
        <v>69</v>
      </c>
      <c r="B47">
        <v>29</v>
      </c>
      <c r="C47">
        <v>0</v>
      </c>
      <c r="D47" s="23">
        <f>GETPIVOTDATA("[Measures].[Sum of Returned_value]",$A$45,"[Table13].[Product]","[Table13].[Product].&amp;[Desk Lamp]")/GETPIVOTDATA("[Measures].[Count of OrderID 2]",$A$45,"[Table13].[Product]","[Table13].[Product].&amp;[Desk Lamp]")</f>
        <v>0</v>
      </c>
    </row>
    <row r="48" spans="1:4" x14ac:dyDescent="0.35">
      <c r="A48" s="7" t="s">
        <v>101</v>
      </c>
      <c r="B48">
        <v>26</v>
      </c>
      <c r="C48">
        <v>4</v>
      </c>
      <c r="D48" s="23">
        <f>GETPIVOTDATA("[Measures].[Sum of Returned_value]",$A$45,"[Table13].[Product]","[Table13].[Product].&amp;[Docking Station]")/GETPIVOTDATA("[Measures].[Count of OrderID 2]",$A$45,"[Table13].[Product]","[Table13].[Product].&amp;[Docking Station]")</f>
        <v>0.15384615384615385</v>
      </c>
    </row>
    <row r="49" spans="1:4" x14ac:dyDescent="0.35">
      <c r="A49" s="7" t="s">
        <v>85</v>
      </c>
      <c r="B49">
        <v>35</v>
      </c>
      <c r="C49">
        <v>3</v>
      </c>
      <c r="D49" s="23">
        <f>GETPIVOTDATA("[Measures].[Sum of Returned_value]",$A$45,"[Table13].[Product]","[Table13].[Product].&amp;[Headset]")/GETPIVOTDATA("[Measures].[Count of OrderID 2]",$A$45,"[Table13].[Product]","[Table13].[Product].&amp;[Headset]")</f>
        <v>8.5714285714285715E-2</v>
      </c>
    </row>
    <row r="50" spans="1:4" x14ac:dyDescent="0.35">
      <c r="A50" s="7" t="s">
        <v>16</v>
      </c>
      <c r="B50">
        <v>25</v>
      </c>
      <c r="C50">
        <v>3</v>
      </c>
      <c r="D50" s="23">
        <f>GETPIVOTDATA("[Measures].[Sum of Returned_value]",$A$45,"[Table13].[Product]","[Table13].[Product].&amp;[Keyboard]")/GETPIVOTDATA("[Measures].[Count of OrderID 2]",$A$45,"[Table13].[Product]","[Table13].[Product].&amp;[Keyboard]")</f>
        <v>0.12</v>
      </c>
    </row>
    <row r="51" spans="1:4" x14ac:dyDescent="0.35">
      <c r="A51" s="7" t="s">
        <v>50</v>
      </c>
      <c r="B51">
        <v>30</v>
      </c>
      <c r="C51">
        <v>3</v>
      </c>
      <c r="D51" s="23">
        <f>GETPIVOTDATA("[Measures].[Sum of Returned_value]",$A$45,"[Table13].[Product]","[Table13].[Product].&amp;[Laptop]")/GETPIVOTDATA("[Measures].[Count of OrderID 2]",$A$45,"[Table13].[Product]","[Table13].[Product].&amp;[Laptop]")</f>
        <v>0.1</v>
      </c>
    </row>
    <row r="52" spans="1:4" x14ac:dyDescent="0.35">
      <c r="A52" s="7" t="s">
        <v>56</v>
      </c>
      <c r="B52">
        <v>31</v>
      </c>
      <c r="C52">
        <v>0</v>
      </c>
      <c r="D52" s="23">
        <f>GETPIVOTDATA("[Measures].[Sum of Returned_value]",$A$45,"[Table13].[Product]","[Table13].[Product].&amp;[Laptop Pro]")/GETPIVOTDATA("[Measures].[Count of OrderID 2]",$A$45,"[Table13].[Product]","[Table13].[Product].&amp;[Laptop Pro]")</f>
        <v>0</v>
      </c>
    </row>
    <row r="53" spans="1:4" x14ac:dyDescent="0.35">
      <c r="A53" s="7" t="s">
        <v>42</v>
      </c>
      <c r="B53">
        <v>31</v>
      </c>
      <c r="C53">
        <v>2</v>
      </c>
      <c r="D53" s="23">
        <f>GETPIVOTDATA("[Measures].[Sum of Returned_value]",$A$45,"[Table13].[Product]","[Table13].[Product].&amp;[Monitor 24in]")/GETPIVOTDATA("[Measures].[Count of OrderID 2]",$A$45,"[Table13].[Product]","[Table13].[Product].&amp;[Monitor 24in]")</f>
        <v>6.4516129032258063E-2</v>
      </c>
    </row>
    <row r="54" spans="1:4" x14ac:dyDescent="0.35">
      <c r="A54" s="7" t="s">
        <v>107</v>
      </c>
      <c r="B54">
        <v>32</v>
      </c>
      <c r="C54">
        <v>4</v>
      </c>
      <c r="D54" s="23">
        <f>GETPIVOTDATA("[Measures].[Sum of Returned_value]",$A$45,"[Table13].[Product]","[Table13].[Product].&amp;[Office Desk]")/GETPIVOTDATA("[Measures].[Count of OrderID 2]",$A$45,"[Table13].[Product]","[Table13].[Product].&amp;[Office Desk]")</f>
        <v>0.125</v>
      </c>
    </row>
    <row r="55" spans="1:4" x14ac:dyDescent="0.35">
      <c r="A55" s="7" t="s">
        <v>142</v>
      </c>
      <c r="B55">
        <v>26</v>
      </c>
      <c r="C55">
        <v>1</v>
      </c>
      <c r="D55" s="23">
        <f>GETPIVOTDATA("[Measures].[Sum of Returned_value]",$A$45,"[Table13].[Product]","[Table13].[Product].&amp;[Printer]")/GETPIVOTDATA("[Measures].[Count of OrderID 2]",$A$45,"[Table13].[Product]","[Table13].[Product].&amp;[Printer]")</f>
        <v>3.8461538461538464E-2</v>
      </c>
    </row>
    <row r="56" spans="1:4" x14ac:dyDescent="0.35">
      <c r="A56" s="7" t="s">
        <v>34</v>
      </c>
      <c r="B56">
        <v>30</v>
      </c>
      <c r="C56">
        <v>2</v>
      </c>
      <c r="D56" s="23">
        <f>GETPIVOTDATA("[Measures].[Sum of Returned_value]",$A$45,"[Table13].[Product]","[Table13].[Product].&amp;[Standing Desk]")/GETPIVOTDATA("[Measures].[Count of OrderID 2]",$A$45,"[Table13].[Product]","[Table13].[Product].&amp;[Standing Desk]")</f>
        <v>6.6666666666666666E-2</v>
      </c>
    </row>
    <row r="57" spans="1:4" x14ac:dyDescent="0.35">
      <c r="A57" s="7" t="s">
        <v>166</v>
      </c>
      <c r="B57">
        <v>25</v>
      </c>
      <c r="C57">
        <v>1</v>
      </c>
      <c r="D57" s="23">
        <f>GETPIVOTDATA("[Measures].[Sum of Returned_value]",$A$45,"[Table13].[Product]","[Table13].[Product].&amp;[Wireless Mouse]")/GETPIVOTDATA("[Measures].[Count of OrderID 2]",$A$45,"[Table13].[Product]","[Table13].[Product].&amp;[Wireless Mouse]")</f>
        <v>0.04</v>
      </c>
    </row>
    <row r="58" spans="1:4" x14ac:dyDescent="0.35">
      <c r="A58" s="24" t="s">
        <v>1055</v>
      </c>
      <c r="B58" s="20">
        <v>350</v>
      </c>
      <c r="C58" s="20">
        <v>27</v>
      </c>
      <c r="D58" s="22">
        <f>GETPIVOTDATA("[Measures].[Sum of Returned_value]",$A$45)/GETPIVOTDATA("[Measures].[Count of OrderID 2]",$A$45)</f>
        <v>7.7142857142857138E-2</v>
      </c>
    </row>
    <row r="61" spans="1:4" x14ac:dyDescent="0.35">
      <c r="A61" s="6" t="s">
        <v>1054</v>
      </c>
      <c r="B61" t="s">
        <v>1074</v>
      </c>
    </row>
    <row r="62" spans="1:4" x14ac:dyDescent="0.35">
      <c r="A62" s="7" t="s">
        <v>18</v>
      </c>
      <c r="B62" s="19">
        <v>233469.73349999997</v>
      </c>
    </row>
    <row r="63" spans="1:4" x14ac:dyDescent="0.35">
      <c r="A63" s="7" t="s">
        <v>27</v>
      </c>
      <c r="B63" s="19">
        <v>169626.90250000003</v>
      </c>
    </row>
    <row r="64" spans="1:4" x14ac:dyDescent="0.35">
      <c r="A64" s="7" t="s">
        <v>57</v>
      </c>
      <c r="B64" s="19">
        <v>154496.571</v>
      </c>
    </row>
    <row r="65" spans="1:2" x14ac:dyDescent="0.35">
      <c r="A65" s="7" t="s">
        <v>76</v>
      </c>
      <c r="B65" s="19">
        <v>161375.97400000002</v>
      </c>
    </row>
    <row r="66" spans="1:2" x14ac:dyDescent="0.35">
      <c r="A66" s="7" t="s">
        <v>35</v>
      </c>
      <c r="B66" s="19">
        <v>189199.22149999996</v>
      </c>
    </row>
    <row r="67" spans="1:2" x14ac:dyDescent="0.35">
      <c r="A67" s="7" t="s">
        <v>43</v>
      </c>
      <c r="B67" s="19">
        <v>145402.91250000001</v>
      </c>
    </row>
    <row r="68" spans="1:2" x14ac:dyDescent="0.35">
      <c r="A68" s="7" t="s">
        <v>1055</v>
      </c>
      <c r="B68" s="19">
        <v>1053571.3149999999</v>
      </c>
    </row>
  </sheetData>
  <mergeCells count="5">
    <mergeCell ref="A44:D44"/>
    <mergeCell ref="A1:F1"/>
    <mergeCell ref="A3:D3"/>
    <mergeCell ref="A13:D13"/>
    <mergeCell ref="A22:F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3"/>
  <sheetViews>
    <sheetView workbookViewId="0">
      <selection activeCell="A90" sqref="A90:D103"/>
    </sheetView>
  </sheetViews>
  <sheetFormatPr defaultRowHeight="14.5" x14ac:dyDescent="0.35"/>
  <cols>
    <col min="1" max="1" width="20.08984375" customWidth="1"/>
    <col min="2" max="2" width="25.453125" bestFit="1" customWidth="1"/>
    <col min="3" max="3" width="13.1796875" customWidth="1"/>
    <col min="4" max="4" width="50.54296875" customWidth="1"/>
    <col min="5" max="5" width="12.36328125" bestFit="1" customWidth="1"/>
    <col min="6" max="6" width="17.453125" bestFit="1" customWidth="1"/>
    <col min="7" max="7" width="14.1796875" bestFit="1" customWidth="1"/>
  </cols>
  <sheetData>
    <row r="1" spans="1:8" ht="21" x14ac:dyDescent="0.5">
      <c r="A1" s="25" t="s">
        <v>1051</v>
      </c>
      <c r="B1" s="26"/>
      <c r="C1" s="26"/>
      <c r="D1" s="26"/>
      <c r="E1" s="26"/>
      <c r="F1" s="26"/>
      <c r="G1" s="26"/>
      <c r="H1" s="26"/>
    </row>
    <row r="3" spans="1:8" x14ac:dyDescent="0.35">
      <c r="A3" s="4" t="s">
        <v>1052</v>
      </c>
      <c r="D3" s="4"/>
    </row>
    <row r="5" spans="1:8" x14ac:dyDescent="0.35">
      <c r="A5" s="4" t="s">
        <v>1047</v>
      </c>
      <c r="B5" s="5">
        <f>COUNT(Clean_Data!A:A)</f>
        <v>350</v>
      </c>
    </row>
    <row r="6" spans="1:8" x14ac:dyDescent="0.35">
      <c r="A6" s="4" t="s">
        <v>1048</v>
      </c>
      <c r="B6" s="19">
        <f>SUM(Clean_Data!R:R)</f>
        <v>1053571.3150000004</v>
      </c>
      <c r="C6" s="5"/>
      <c r="G6" s="5"/>
    </row>
    <row r="7" spans="1:8" x14ac:dyDescent="0.35">
      <c r="A7" s="4" t="s">
        <v>1053</v>
      </c>
      <c r="B7" s="19">
        <f>B6/B5</f>
        <v>3010.2037571428582</v>
      </c>
    </row>
    <row r="8" spans="1:8" x14ac:dyDescent="0.35">
      <c r="A8" s="4" t="s">
        <v>1049</v>
      </c>
      <c r="B8" s="23">
        <f>27/B5</f>
        <v>7.7142857142857138E-2</v>
      </c>
    </row>
    <row r="9" spans="1:8" x14ac:dyDescent="0.35">
      <c r="A9" s="4" t="s">
        <v>1050</v>
      </c>
      <c r="B9" s="21">
        <v>0.6</v>
      </c>
    </row>
    <row r="10" spans="1:8" x14ac:dyDescent="0.35">
      <c r="A10" t="s">
        <v>1061</v>
      </c>
    </row>
    <row r="12" spans="1:8" x14ac:dyDescent="0.35">
      <c r="A12" s="28" t="s">
        <v>1065</v>
      </c>
      <c r="B12" s="28"/>
      <c r="C12" s="28"/>
      <c r="D12" s="28"/>
    </row>
    <row r="13" spans="1:8" x14ac:dyDescent="0.35">
      <c r="A13" s="28"/>
      <c r="B13" s="28"/>
      <c r="C13" s="28"/>
      <c r="D13" s="28"/>
    </row>
    <row r="14" spans="1:8" x14ac:dyDescent="0.35">
      <c r="A14" s="27"/>
      <c r="B14" s="27"/>
      <c r="C14" s="27"/>
      <c r="D14" s="27"/>
    </row>
    <row r="15" spans="1:8" x14ac:dyDescent="0.35">
      <c r="A15" s="27"/>
      <c r="B15" s="27"/>
      <c r="C15" s="27"/>
      <c r="D15" s="27"/>
    </row>
    <row r="16" spans="1:8" x14ac:dyDescent="0.35">
      <c r="A16" s="27"/>
      <c r="B16" s="27"/>
      <c r="C16" s="27"/>
      <c r="D16" s="27"/>
    </row>
    <row r="17" spans="1:4" x14ac:dyDescent="0.35">
      <c r="A17" s="27"/>
      <c r="B17" s="27"/>
      <c r="C17" s="27"/>
      <c r="D17" s="27"/>
    </row>
    <row r="18" spans="1:4" x14ac:dyDescent="0.35">
      <c r="A18" s="27"/>
      <c r="B18" s="27"/>
      <c r="C18" s="27"/>
      <c r="D18" s="27"/>
    </row>
    <row r="19" spans="1:4" x14ac:dyDescent="0.35">
      <c r="A19" s="27"/>
      <c r="B19" s="27"/>
      <c r="C19" s="27"/>
      <c r="D19" s="27"/>
    </row>
    <row r="20" spans="1:4" x14ac:dyDescent="0.35">
      <c r="A20" s="27"/>
      <c r="B20" s="27"/>
      <c r="C20" s="27"/>
      <c r="D20" s="27"/>
    </row>
    <row r="21" spans="1:4" x14ac:dyDescent="0.35">
      <c r="A21" s="27"/>
      <c r="B21" s="27"/>
      <c r="C21" s="27"/>
      <c r="D21" s="27"/>
    </row>
    <row r="22" spans="1:4" x14ac:dyDescent="0.35">
      <c r="A22" s="27"/>
      <c r="B22" s="27"/>
      <c r="C22" s="27"/>
      <c r="D22" s="27"/>
    </row>
    <row r="23" spans="1:4" x14ac:dyDescent="0.35">
      <c r="A23" s="27"/>
      <c r="B23" s="27"/>
      <c r="C23" s="27"/>
      <c r="D23" s="27"/>
    </row>
    <row r="24" spans="1:4" x14ac:dyDescent="0.35">
      <c r="A24" s="27"/>
      <c r="B24" s="27"/>
      <c r="C24" s="27"/>
      <c r="D24" s="27"/>
    </row>
    <row r="25" spans="1:4" x14ac:dyDescent="0.35">
      <c r="A25" s="27"/>
      <c r="B25" s="27"/>
      <c r="C25" s="27"/>
      <c r="D25" s="27"/>
    </row>
    <row r="26" spans="1:4" x14ac:dyDescent="0.35">
      <c r="A26" s="27"/>
      <c r="B26" s="27"/>
      <c r="C26" s="27"/>
      <c r="D26" s="27"/>
    </row>
    <row r="27" spans="1:4" x14ac:dyDescent="0.35">
      <c r="A27" s="27"/>
      <c r="B27" s="27"/>
      <c r="C27" s="27"/>
      <c r="D27" s="27"/>
    </row>
    <row r="28" spans="1:4" x14ac:dyDescent="0.35">
      <c r="A28" s="27"/>
      <c r="B28" s="27"/>
      <c r="C28" s="27"/>
      <c r="D28" s="27"/>
    </row>
    <row r="29" spans="1:4" x14ac:dyDescent="0.35">
      <c r="A29" s="27"/>
      <c r="B29" s="27"/>
      <c r="C29" s="27"/>
      <c r="D29" s="27"/>
    </row>
    <row r="30" spans="1:4" x14ac:dyDescent="0.35">
      <c r="A30" s="28" t="s">
        <v>1066</v>
      </c>
      <c r="B30" s="28"/>
      <c r="C30" s="28"/>
      <c r="D30" s="28"/>
    </row>
    <row r="31" spans="1:4" x14ac:dyDescent="0.35">
      <c r="A31" s="28"/>
      <c r="B31" s="28"/>
      <c r="C31" s="28"/>
      <c r="D31" s="28"/>
    </row>
    <row r="32" spans="1:4" x14ac:dyDescent="0.35">
      <c r="A32" s="28"/>
      <c r="B32" s="28"/>
      <c r="C32" s="28"/>
      <c r="D32" s="28"/>
    </row>
    <row r="33" spans="1:4" x14ac:dyDescent="0.35">
      <c r="A33" s="16"/>
      <c r="B33" s="16"/>
      <c r="C33" s="16"/>
      <c r="D33" s="16"/>
    </row>
    <row r="34" spans="1:4" x14ac:dyDescent="0.35">
      <c r="A34" s="16"/>
      <c r="B34" s="16"/>
      <c r="C34" s="16"/>
      <c r="D34" s="16"/>
    </row>
    <row r="35" spans="1:4" x14ac:dyDescent="0.35">
      <c r="A35" s="16"/>
      <c r="B35" s="16"/>
      <c r="C35" s="16"/>
      <c r="D35" s="16"/>
    </row>
    <row r="36" spans="1:4" x14ac:dyDescent="0.35">
      <c r="A36" s="16"/>
      <c r="B36" s="16"/>
      <c r="C36" s="16"/>
      <c r="D36" s="16"/>
    </row>
    <row r="37" spans="1:4" x14ac:dyDescent="0.35">
      <c r="A37" s="16"/>
      <c r="B37" s="16"/>
      <c r="C37" s="16"/>
      <c r="D37" s="16"/>
    </row>
    <row r="38" spans="1:4" x14ac:dyDescent="0.35">
      <c r="A38" s="16"/>
      <c r="B38" s="16"/>
      <c r="C38" s="16"/>
      <c r="D38" s="16"/>
    </row>
    <row r="39" spans="1:4" x14ac:dyDescent="0.35">
      <c r="A39" s="16"/>
      <c r="B39" s="16"/>
      <c r="C39" s="16"/>
      <c r="D39" s="16"/>
    </row>
    <row r="40" spans="1:4" x14ac:dyDescent="0.35">
      <c r="A40" s="16"/>
      <c r="B40" s="16"/>
      <c r="C40" s="16"/>
      <c r="D40" s="16"/>
    </row>
    <row r="41" spans="1:4" x14ac:dyDescent="0.35">
      <c r="A41" s="16"/>
      <c r="B41" s="16"/>
      <c r="C41" s="16"/>
      <c r="D41" s="16"/>
    </row>
    <row r="42" spans="1:4" x14ac:dyDescent="0.35">
      <c r="A42" s="16"/>
      <c r="B42" s="16"/>
      <c r="C42" s="16"/>
      <c r="D42" s="16"/>
    </row>
    <row r="43" spans="1:4" x14ac:dyDescent="0.35">
      <c r="A43" s="16"/>
      <c r="B43" s="16"/>
      <c r="C43" s="16"/>
      <c r="D43" s="16"/>
    </row>
    <row r="44" spans="1:4" x14ac:dyDescent="0.35">
      <c r="A44" s="16"/>
      <c r="B44" s="16"/>
      <c r="C44" s="16"/>
      <c r="D44" s="16"/>
    </row>
    <row r="45" spans="1:4" x14ac:dyDescent="0.35">
      <c r="A45" s="16"/>
      <c r="B45" s="16"/>
      <c r="C45" s="16"/>
      <c r="D45" s="16"/>
    </row>
    <row r="46" spans="1:4" x14ac:dyDescent="0.35">
      <c r="A46" s="16"/>
      <c r="B46" s="16"/>
      <c r="C46" s="16"/>
      <c r="D46" s="16"/>
    </row>
    <row r="47" spans="1:4" x14ac:dyDescent="0.35">
      <c r="A47" s="16"/>
      <c r="B47" s="16"/>
      <c r="C47" s="16"/>
      <c r="D47" s="16"/>
    </row>
    <row r="48" spans="1:4" x14ac:dyDescent="0.35">
      <c r="A48" s="16"/>
      <c r="B48" s="16"/>
      <c r="C48" s="16"/>
      <c r="D48" s="16"/>
    </row>
    <row r="49" spans="1:4" x14ac:dyDescent="0.35">
      <c r="A49" s="16"/>
      <c r="B49" s="16"/>
      <c r="C49" s="16"/>
      <c r="D49" s="16"/>
    </row>
    <row r="50" spans="1:4" x14ac:dyDescent="0.35">
      <c r="A50" s="28" t="s">
        <v>1067</v>
      </c>
      <c r="B50" s="28"/>
      <c r="C50" s="28"/>
      <c r="D50" s="28"/>
    </row>
    <row r="51" spans="1:4" x14ac:dyDescent="0.35">
      <c r="A51" s="28"/>
      <c r="B51" s="28"/>
      <c r="C51" s="28"/>
      <c r="D51" s="28"/>
    </row>
    <row r="52" spans="1:4" x14ac:dyDescent="0.35">
      <c r="A52" s="28"/>
      <c r="B52" s="28"/>
      <c r="C52" s="28"/>
      <c r="D52" s="28"/>
    </row>
    <row r="53" spans="1:4" x14ac:dyDescent="0.35">
      <c r="A53" s="27"/>
      <c r="B53" s="27"/>
      <c r="C53" s="27"/>
      <c r="D53" s="27"/>
    </row>
    <row r="54" spans="1:4" x14ac:dyDescent="0.35">
      <c r="A54" s="27"/>
      <c r="B54" s="27"/>
      <c r="C54" s="27"/>
      <c r="D54" s="27"/>
    </row>
    <row r="55" spans="1:4" x14ac:dyDescent="0.35">
      <c r="A55" s="27"/>
      <c r="B55" s="27"/>
      <c r="C55" s="27"/>
      <c r="D55" s="27"/>
    </row>
    <row r="56" spans="1:4" x14ac:dyDescent="0.35">
      <c r="A56" s="27"/>
      <c r="B56" s="27"/>
      <c r="C56" s="27"/>
      <c r="D56" s="27"/>
    </row>
    <row r="57" spans="1:4" x14ac:dyDescent="0.35">
      <c r="A57" s="27"/>
      <c r="B57" s="27"/>
      <c r="C57" s="27"/>
      <c r="D57" s="27"/>
    </row>
    <row r="58" spans="1:4" x14ac:dyDescent="0.35">
      <c r="A58" s="27"/>
      <c r="B58" s="27"/>
      <c r="C58" s="27"/>
      <c r="D58" s="27"/>
    </row>
    <row r="59" spans="1:4" x14ac:dyDescent="0.35">
      <c r="A59" s="27"/>
      <c r="B59" s="27"/>
      <c r="C59" s="27"/>
      <c r="D59" s="27"/>
    </row>
    <row r="60" spans="1:4" x14ac:dyDescent="0.35">
      <c r="A60" s="27"/>
      <c r="B60" s="27"/>
      <c r="C60" s="27"/>
      <c r="D60" s="27"/>
    </row>
    <row r="61" spans="1:4" x14ac:dyDescent="0.35">
      <c r="A61" s="27"/>
      <c r="B61" s="27"/>
      <c r="C61" s="27"/>
      <c r="D61" s="27"/>
    </row>
    <row r="62" spans="1:4" x14ac:dyDescent="0.35">
      <c r="A62" s="27"/>
      <c r="B62" s="27"/>
      <c r="C62" s="27"/>
      <c r="D62" s="27"/>
    </row>
    <row r="63" spans="1:4" x14ac:dyDescent="0.35">
      <c r="A63" s="27"/>
      <c r="B63" s="27"/>
      <c r="C63" s="27"/>
      <c r="D63" s="27"/>
    </row>
    <row r="64" spans="1:4" x14ac:dyDescent="0.35">
      <c r="A64" s="27"/>
      <c r="B64" s="27"/>
      <c r="C64" s="27"/>
      <c r="D64" s="27"/>
    </row>
    <row r="65" spans="1:4" x14ac:dyDescent="0.35">
      <c r="A65" s="27"/>
      <c r="B65" s="27"/>
      <c r="C65" s="27"/>
      <c r="D65" s="27"/>
    </row>
    <row r="66" spans="1:4" x14ac:dyDescent="0.35">
      <c r="A66" s="27"/>
      <c r="B66" s="27"/>
      <c r="C66" s="27"/>
      <c r="D66" s="27"/>
    </row>
    <row r="67" spans="1:4" x14ac:dyDescent="0.35">
      <c r="A67" s="27"/>
      <c r="B67" s="27"/>
      <c r="C67" s="27"/>
      <c r="D67" s="27"/>
    </row>
    <row r="68" spans="1:4" x14ac:dyDescent="0.35">
      <c r="A68" s="28" t="s">
        <v>1068</v>
      </c>
      <c r="B68" s="28"/>
      <c r="C68" s="28"/>
      <c r="D68" s="28"/>
    </row>
    <row r="69" spans="1:4" x14ac:dyDescent="0.35">
      <c r="A69" s="28"/>
      <c r="B69" s="28"/>
      <c r="C69" s="28"/>
      <c r="D69" s="28"/>
    </row>
    <row r="70" spans="1:4" x14ac:dyDescent="0.35">
      <c r="A70" s="28"/>
      <c r="B70" s="28"/>
      <c r="C70" s="28"/>
      <c r="D70" s="28"/>
    </row>
    <row r="71" spans="1:4" x14ac:dyDescent="0.35">
      <c r="A71" s="27"/>
      <c r="B71" s="27"/>
      <c r="C71" s="27"/>
      <c r="D71" s="27"/>
    </row>
    <row r="72" spans="1:4" x14ac:dyDescent="0.35">
      <c r="A72" s="27"/>
      <c r="B72" s="27"/>
      <c r="C72" s="27"/>
      <c r="D72" s="27"/>
    </row>
    <row r="73" spans="1:4" x14ac:dyDescent="0.35">
      <c r="A73" s="27"/>
      <c r="B73" s="27"/>
      <c r="C73" s="27"/>
      <c r="D73" s="27"/>
    </row>
    <row r="74" spans="1:4" x14ac:dyDescent="0.35">
      <c r="A74" s="27"/>
      <c r="B74" s="27"/>
      <c r="C74" s="27"/>
      <c r="D74" s="27"/>
    </row>
    <row r="75" spans="1:4" x14ac:dyDescent="0.35">
      <c r="A75" s="27"/>
      <c r="B75" s="27"/>
      <c r="C75" s="27"/>
      <c r="D75" s="27"/>
    </row>
    <row r="76" spans="1:4" x14ac:dyDescent="0.35">
      <c r="A76" s="27"/>
      <c r="B76" s="27"/>
      <c r="C76" s="27"/>
      <c r="D76" s="27"/>
    </row>
    <row r="77" spans="1:4" x14ac:dyDescent="0.35">
      <c r="A77" s="27"/>
      <c r="B77" s="27"/>
      <c r="C77" s="27"/>
      <c r="D77" s="27"/>
    </row>
    <row r="78" spans="1:4" x14ac:dyDescent="0.35">
      <c r="A78" s="27"/>
      <c r="B78" s="27"/>
      <c r="C78" s="27"/>
      <c r="D78" s="27"/>
    </row>
    <row r="79" spans="1:4" x14ac:dyDescent="0.35">
      <c r="A79" s="27"/>
      <c r="B79" s="27"/>
      <c r="C79" s="27"/>
      <c r="D79" s="27"/>
    </row>
    <row r="80" spans="1:4" x14ac:dyDescent="0.35">
      <c r="A80" s="27"/>
      <c r="B80" s="27"/>
      <c r="C80" s="27"/>
      <c r="D80" s="27"/>
    </row>
    <row r="81" spans="1:4" x14ac:dyDescent="0.35">
      <c r="A81" s="27"/>
      <c r="B81" s="27"/>
      <c r="C81" s="27"/>
      <c r="D81" s="27"/>
    </row>
    <row r="82" spans="1:4" x14ac:dyDescent="0.35">
      <c r="A82" s="27"/>
      <c r="B82" s="27"/>
      <c r="C82" s="27"/>
      <c r="D82" s="27"/>
    </row>
    <row r="83" spans="1:4" x14ac:dyDescent="0.35">
      <c r="A83" s="27"/>
      <c r="B83" s="27"/>
      <c r="C83" s="27"/>
      <c r="D83" s="27"/>
    </row>
    <row r="84" spans="1:4" x14ac:dyDescent="0.35">
      <c r="A84" s="27"/>
      <c r="B84" s="27"/>
      <c r="C84" s="27"/>
      <c r="D84" s="27"/>
    </row>
    <row r="85" spans="1:4" x14ac:dyDescent="0.35">
      <c r="A85" s="27"/>
      <c r="B85" s="27"/>
      <c r="C85" s="27"/>
      <c r="D85" s="27"/>
    </row>
    <row r="86" spans="1:4" x14ac:dyDescent="0.35">
      <c r="A86" s="27"/>
      <c r="B86" s="27"/>
      <c r="C86" s="27"/>
      <c r="D86" s="27"/>
    </row>
    <row r="87" spans="1:4" x14ac:dyDescent="0.35">
      <c r="A87" s="27"/>
      <c r="B87" s="27"/>
      <c r="C87" s="27"/>
      <c r="D87" s="27"/>
    </row>
    <row r="90" spans="1:4" x14ac:dyDescent="0.35">
      <c r="A90" t="s">
        <v>4</v>
      </c>
      <c r="B90" t="s">
        <v>1064</v>
      </c>
      <c r="C90" t="s">
        <v>1076</v>
      </c>
      <c r="D90" s="22" t="s">
        <v>1077</v>
      </c>
    </row>
    <row r="91" spans="1:4" x14ac:dyDescent="0.35">
      <c r="A91" t="s">
        <v>25</v>
      </c>
      <c r="B91">
        <v>30</v>
      </c>
      <c r="C91">
        <v>4</v>
      </c>
      <c r="D91" s="23">
        <v>0.13333333333333333</v>
      </c>
    </row>
    <row r="92" spans="1:4" x14ac:dyDescent="0.35">
      <c r="A92" t="s">
        <v>69</v>
      </c>
      <c r="B92">
        <v>29</v>
      </c>
      <c r="C92">
        <v>0</v>
      </c>
      <c r="D92" s="23">
        <v>0</v>
      </c>
    </row>
    <row r="93" spans="1:4" x14ac:dyDescent="0.35">
      <c r="A93" t="s">
        <v>101</v>
      </c>
      <c r="B93">
        <v>26</v>
      </c>
      <c r="C93">
        <v>4</v>
      </c>
      <c r="D93" s="23">
        <v>0.15384615384615385</v>
      </c>
    </row>
    <row r="94" spans="1:4" x14ac:dyDescent="0.35">
      <c r="A94" t="s">
        <v>85</v>
      </c>
      <c r="B94">
        <v>35</v>
      </c>
      <c r="C94">
        <v>3</v>
      </c>
      <c r="D94" s="23">
        <v>8.5714285714285715E-2</v>
      </c>
    </row>
    <row r="95" spans="1:4" x14ac:dyDescent="0.35">
      <c r="A95" t="s">
        <v>16</v>
      </c>
      <c r="B95">
        <v>25</v>
      </c>
      <c r="C95">
        <v>3</v>
      </c>
      <c r="D95" s="23">
        <v>0.12</v>
      </c>
    </row>
    <row r="96" spans="1:4" x14ac:dyDescent="0.35">
      <c r="A96" t="s">
        <v>50</v>
      </c>
      <c r="B96">
        <v>30</v>
      </c>
      <c r="C96">
        <v>3</v>
      </c>
      <c r="D96" s="23">
        <v>0.1</v>
      </c>
    </row>
    <row r="97" spans="1:4" x14ac:dyDescent="0.35">
      <c r="A97" t="s">
        <v>56</v>
      </c>
      <c r="B97">
        <v>31</v>
      </c>
      <c r="C97">
        <v>0</v>
      </c>
      <c r="D97" s="23">
        <v>0</v>
      </c>
    </row>
    <row r="98" spans="1:4" x14ac:dyDescent="0.35">
      <c r="A98" t="s">
        <v>42</v>
      </c>
      <c r="B98">
        <v>31</v>
      </c>
      <c r="C98">
        <v>2</v>
      </c>
      <c r="D98" s="23">
        <v>6.4516129032258063E-2</v>
      </c>
    </row>
    <row r="99" spans="1:4" x14ac:dyDescent="0.35">
      <c r="A99" t="s">
        <v>107</v>
      </c>
      <c r="B99">
        <v>32</v>
      </c>
      <c r="C99">
        <v>4</v>
      </c>
      <c r="D99" s="23">
        <v>0.125</v>
      </c>
    </row>
    <row r="100" spans="1:4" x14ac:dyDescent="0.35">
      <c r="A100" t="s">
        <v>142</v>
      </c>
      <c r="B100">
        <v>26</v>
      </c>
      <c r="C100">
        <v>1</v>
      </c>
      <c r="D100" s="23">
        <v>3.8461538461538464E-2</v>
      </c>
    </row>
    <row r="101" spans="1:4" x14ac:dyDescent="0.35">
      <c r="A101" t="s">
        <v>34</v>
      </c>
      <c r="B101">
        <v>30</v>
      </c>
      <c r="C101">
        <v>2</v>
      </c>
      <c r="D101" s="23">
        <v>6.6666666666666666E-2</v>
      </c>
    </row>
    <row r="102" spans="1:4" x14ac:dyDescent="0.35">
      <c r="A102" t="s">
        <v>166</v>
      </c>
      <c r="B102">
        <v>25</v>
      </c>
      <c r="C102">
        <v>1</v>
      </c>
      <c r="D102" s="23">
        <v>0.04</v>
      </c>
    </row>
    <row r="103" spans="1:4" x14ac:dyDescent="0.35">
      <c r="A103" t="s">
        <v>1055</v>
      </c>
      <c r="B103">
        <v>350</v>
      </c>
      <c r="C103">
        <v>27</v>
      </c>
      <c r="D103" s="22">
        <v>7.7142857142857138E-2</v>
      </c>
    </row>
  </sheetData>
  <mergeCells count="8">
    <mergeCell ref="A1:H1"/>
    <mergeCell ref="A14:D29"/>
    <mergeCell ref="A53:D67"/>
    <mergeCell ref="A71:D87"/>
    <mergeCell ref="A30:D32"/>
    <mergeCell ref="A12:D13"/>
    <mergeCell ref="A50:D52"/>
    <mergeCell ref="A68:D70"/>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0C084-2F54-4869-AEC3-4A3F8A65BBB5}">
  <dimension ref="A1:V9"/>
  <sheetViews>
    <sheetView zoomScale="80" zoomScaleNormal="80" workbookViewId="0">
      <selection activeCell="I1" sqref="I1"/>
    </sheetView>
  </sheetViews>
  <sheetFormatPr defaultRowHeight="14.5" x14ac:dyDescent="0.35"/>
  <sheetData>
    <row r="1" spans="1:22" x14ac:dyDescent="0.35">
      <c r="H1" s="31"/>
    </row>
    <row r="2" spans="1:22" ht="14.5" customHeight="1" x14ac:dyDescent="0.35">
      <c r="A2" s="30" t="s">
        <v>1079</v>
      </c>
      <c r="B2" s="30"/>
      <c r="C2" s="30"/>
      <c r="D2" s="30"/>
      <c r="E2" s="30"/>
      <c r="F2" s="30"/>
      <c r="G2" s="30"/>
      <c r="H2" s="30"/>
      <c r="I2" s="30"/>
      <c r="J2" s="30"/>
      <c r="K2" s="30"/>
      <c r="L2" s="30"/>
      <c r="M2" s="30"/>
      <c r="N2" s="30"/>
      <c r="O2" s="30"/>
      <c r="P2" s="30"/>
      <c r="Q2" s="30"/>
      <c r="R2" s="30"/>
      <c r="S2" s="30"/>
      <c r="T2" s="30"/>
      <c r="U2" s="30"/>
    </row>
    <row r="3" spans="1:22" ht="14.5" customHeight="1" x14ac:dyDescent="0.35">
      <c r="A3" s="30"/>
      <c r="B3" s="30"/>
      <c r="C3" s="30"/>
      <c r="D3" s="30"/>
      <c r="E3" s="30"/>
      <c r="F3" s="30"/>
      <c r="G3" s="30"/>
      <c r="H3" s="30"/>
      <c r="I3" s="30"/>
      <c r="J3" s="30"/>
      <c r="K3" s="30"/>
      <c r="L3" s="30"/>
      <c r="M3" s="30"/>
      <c r="N3" s="30"/>
      <c r="O3" s="30"/>
      <c r="P3" s="30"/>
      <c r="Q3" s="30"/>
      <c r="R3" s="30"/>
      <c r="S3" s="30"/>
      <c r="T3" s="30"/>
      <c r="U3" s="30"/>
    </row>
    <row r="4" spans="1:22" ht="14.5" customHeight="1" x14ac:dyDescent="0.35">
      <c r="A4" s="30"/>
      <c r="B4" s="30"/>
      <c r="C4" s="30"/>
      <c r="D4" s="30"/>
      <c r="E4" s="30"/>
      <c r="F4" s="30"/>
      <c r="G4" s="30"/>
      <c r="H4" s="30"/>
      <c r="I4" s="30"/>
      <c r="J4" s="30"/>
      <c r="K4" s="30"/>
      <c r="L4" s="30"/>
      <c r="M4" s="30"/>
      <c r="N4" s="30"/>
      <c r="O4" s="30"/>
      <c r="P4" s="30"/>
      <c r="Q4" s="30"/>
      <c r="R4" s="30"/>
      <c r="S4" s="30"/>
      <c r="T4" s="30"/>
      <c r="U4" s="30"/>
    </row>
    <row r="9" spans="1:22" x14ac:dyDescent="0.35">
      <c r="V9" s="29"/>
    </row>
  </sheetData>
  <mergeCells count="1">
    <mergeCell ref="A2: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Data_Dictionary</vt:lpstr>
      <vt:lpstr>Clean_Data</vt:lpstr>
      <vt:lpstr>Analysis</vt:lpstr>
      <vt:lpstr>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neetha hc</cp:lastModifiedBy>
  <dcterms:created xsi:type="dcterms:W3CDTF">2026-02-20T06:04:15Z</dcterms:created>
  <dcterms:modified xsi:type="dcterms:W3CDTF">2026-06-12T10:57:46Z</dcterms:modified>
</cp:coreProperties>
</file>